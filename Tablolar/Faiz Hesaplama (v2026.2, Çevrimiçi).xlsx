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ferha\Downloads\"/>
    </mc:Choice>
  </mc:AlternateContent>
  <xr:revisionPtr revIDLastSave="0" documentId="13_ncr:1_{49663ED6-8264-4A47-A3B3-855973BB5E0A}" xr6:coauthVersionLast="47" xr6:coauthVersionMax="47" xr10:uidLastSave="{00000000-0000-0000-0000-000000000000}"/>
  <bookViews>
    <workbookView xWindow="-108" yWindow="-108" windowWidth="23256" windowHeight="12696" xr2:uid="{00000000-000D-0000-FFFF-FFFF00000000}"/>
  </bookViews>
  <sheets>
    <sheet name="Faiz Hesaplanan" sheetId="1" r:id="rId1"/>
    <sheet name="Faiz Tablosu" sheetId="2" r:id="rId2"/>
    <sheet name="Otuz Günlük" sheetId="4" r:id="rId3"/>
    <sheet name="Kaynak Veri" sheetId="3" r:id="rId4"/>
    <sheet name="PowerQuery Veri" sheetId="5" state="hidden" r:id="rId5"/>
  </sheets>
  <definedNames>
    <definedName name="DışVeri_1" localSheetId="4" hidden="1">'PowerQuery Veri'!$A$1:$B$3</definedName>
    <definedName name="FaizDetayTablosu" localSheetId="1">'Faiz Tablosu'!$A$1:INDEX('Faiz Tablosu'!$E$1:$E$100,LOOKUP(2,1/('Faiz Tablosu'!$A$1:$A$100&lt;&gt;""),ROW('Faiz Tablosu'!$A$1:$A$100)))</definedName>
    <definedName name="_xlnm.Print_Area" localSheetId="1">'Faiz Tablosu'!FaizDetayTablosu</definedName>
  </definedName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 i="3" l="1"/>
  <c r="G2" i="3" s="1"/>
  <c r="C4" i="4"/>
  <c r="A4" i="4"/>
  <c r="C3" i="4"/>
  <c r="B10" i="4" s="1"/>
  <c r="A3" i="4"/>
  <c r="B4" i="1"/>
  <c r="D61" i="3"/>
  <c r="D60" i="3"/>
  <c r="D59" i="3"/>
  <c r="D58" i="3"/>
  <c r="D57" i="3"/>
  <c r="D56" i="3"/>
  <c r="D55" i="3"/>
  <c r="D54" i="3"/>
  <c r="D53" i="3"/>
  <c r="D52" i="3"/>
  <c r="D51" i="3"/>
  <c r="D50" i="3"/>
  <c r="D49" i="3"/>
  <c r="D48" i="3"/>
  <c r="D47" i="3"/>
  <c r="D46" i="3"/>
  <c r="D45" i="3"/>
  <c r="D44" i="3"/>
  <c r="D43" i="3"/>
  <c r="D42" i="3"/>
  <c r="D41" i="3"/>
  <c r="D40" i="3"/>
  <c r="D39" i="3"/>
  <c r="D38" i="3"/>
  <c r="D37" i="3"/>
  <c r="D36" i="3"/>
  <c r="D35" i="3"/>
  <c r="D34" i="3"/>
  <c r="D33" i="3"/>
  <c r="D32" i="3"/>
  <c r="D31" i="3"/>
  <c r="D30" i="3"/>
  <c r="D29" i="3"/>
  <c r="D28" i="3"/>
  <c r="D27" i="3"/>
  <c r="D26" i="3"/>
  <c r="D25" i="3"/>
  <c r="D24" i="3"/>
  <c r="D23" i="3"/>
  <c r="D22" i="3"/>
  <c r="D21" i="3"/>
  <c r="D20" i="3"/>
  <c r="D19" i="3"/>
  <c r="D18" i="3"/>
  <c r="D17" i="3"/>
  <c r="D16" i="3"/>
  <c r="D15" i="3"/>
  <c r="D14" i="3"/>
  <c r="D13" i="3"/>
  <c r="C13" i="3"/>
  <c r="B38" i="4" l="1"/>
  <c r="B37" i="4"/>
  <c r="B36" i="4"/>
  <c r="B35" i="4"/>
  <c r="B34" i="4"/>
  <c r="B33" i="4"/>
  <c r="B32" i="4"/>
  <c r="B31" i="4"/>
  <c r="B30" i="4"/>
  <c r="B29" i="4"/>
  <c r="B28" i="4"/>
  <c r="B27" i="4"/>
  <c r="B26" i="4"/>
  <c r="B25" i="4"/>
  <c r="B24" i="4"/>
  <c r="B23" i="4"/>
  <c r="B22" i="4"/>
  <c r="B21" i="4"/>
  <c r="B20" i="4"/>
  <c r="B19" i="4"/>
  <c r="B18" i="4"/>
  <c r="B17" i="4"/>
  <c r="B16" i="4"/>
  <c r="B15" i="4"/>
  <c r="B14" i="4"/>
  <c r="B13" i="4"/>
  <c r="B12" i="4"/>
  <c r="B11" i="4"/>
  <c r="B8" i="4"/>
  <c r="B9" i="4"/>
  <c r="E3" i="3"/>
  <c r="C5" i="4"/>
  <c r="A4" i="2"/>
  <c r="D4" i="2" s="1"/>
  <c r="C5" i="1" a="1"/>
  <c r="C59" i="3"/>
  <c r="C55" i="3"/>
  <c r="C19" i="3"/>
  <c r="C45" i="3"/>
  <c r="C41" i="3"/>
  <c r="C21" i="3"/>
  <c r="C61" i="3"/>
  <c r="C43" i="3"/>
  <c r="C49" i="3"/>
  <c r="C37" i="3"/>
  <c r="C25" i="3"/>
  <c r="C31" i="3"/>
  <c r="C29" i="3"/>
  <c r="C27" i="3"/>
  <c r="C23" i="3"/>
  <c r="C15" i="3"/>
  <c r="C57" i="3"/>
  <c r="C35" i="3"/>
  <c r="C33" i="3"/>
  <c r="C60" i="3"/>
  <c r="C58" i="3"/>
  <c r="C56" i="3"/>
  <c r="C54" i="3"/>
  <c r="C53" i="3"/>
  <c r="C52" i="3"/>
  <c r="C51" i="3"/>
  <c r="C50" i="3"/>
  <c r="C48" i="3"/>
  <c r="C47" i="3"/>
  <c r="C46" i="3"/>
  <c r="C44" i="3"/>
  <c r="C42" i="3"/>
  <c r="C40" i="3"/>
  <c r="C39" i="3"/>
  <c r="C38" i="3"/>
  <c r="C36" i="3"/>
  <c r="C34" i="3"/>
  <c r="C32" i="3"/>
  <c r="C30" i="3"/>
  <c r="E30" i="3" s="1"/>
  <c r="C28" i="3"/>
  <c r="E28" i="3" s="1"/>
  <c r="C26" i="3"/>
  <c r="E26" i="3" s="1"/>
  <c r="C24" i="3"/>
  <c r="E24" i="3" s="1"/>
  <c r="C22" i="3"/>
  <c r="E22" i="3" s="1"/>
  <c r="C20" i="3"/>
  <c r="E20" i="3" s="1"/>
  <c r="C18" i="3"/>
  <c r="E18" i="3" s="1"/>
  <c r="C17" i="3"/>
  <c r="C16" i="3"/>
  <c r="C14" i="3"/>
  <c r="E14" i="3" s="1"/>
  <c r="A8" i="4" l="1"/>
  <c r="E8" i="4" a="1"/>
  <c r="G3" i="3"/>
  <c r="F30" i="3"/>
  <c r="G30" i="3"/>
  <c r="F28" i="3"/>
  <c r="G28" i="3"/>
  <c r="F26" i="3"/>
  <c r="G26" i="3"/>
  <c r="F24" i="3"/>
  <c r="G24" i="3"/>
  <c r="F22" i="3"/>
  <c r="G22" i="3"/>
  <c r="F20" i="3"/>
  <c r="G20" i="3"/>
  <c r="F18" i="3"/>
  <c r="G18" i="3"/>
  <c r="F14" i="3"/>
  <c r="G14" i="3"/>
  <c r="E4" i="3"/>
  <c r="F2" i="3"/>
  <c r="B4" i="2" s="1"/>
  <c r="B59" i="3"/>
  <c r="E59" i="3"/>
  <c r="B55" i="3"/>
  <c r="E55" i="3"/>
  <c r="B19" i="3"/>
  <c r="E19" i="3"/>
  <c r="B45" i="3"/>
  <c r="E45" i="3"/>
  <c r="B41" i="3"/>
  <c r="E41" i="3"/>
  <c r="B21" i="3"/>
  <c r="E21" i="3"/>
  <c r="B61" i="3"/>
  <c r="E61" i="3"/>
  <c r="B43" i="3"/>
  <c r="E43" i="3"/>
  <c r="B49" i="3"/>
  <c r="E49" i="3"/>
  <c r="B37" i="3"/>
  <c r="E37" i="3"/>
  <c r="B25" i="3"/>
  <c r="E25" i="3"/>
  <c r="B31" i="3"/>
  <c r="E31" i="3"/>
  <c r="B29" i="3"/>
  <c r="E29" i="3"/>
  <c r="B27" i="3"/>
  <c r="E27" i="3"/>
  <c r="B23" i="3"/>
  <c r="E23" i="3"/>
  <c r="B15" i="3"/>
  <c r="E15" i="3"/>
  <c r="B57" i="3"/>
  <c r="E57" i="3"/>
  <c r="B35" i="3"/>
  <c r="E35" i="3"/>
  <c r="B33" i="3"/>
  <c r="E33" i="3"/>
  <c r="B60" i="3"/>
  <c r="E60" i="3"/>
  <c r="B58" i="3"/>
  <c r="E58" i="3"/>
  <c r="B56" i="3"/>
  <c r="E56" i="3"/>
  <c r="B54" i="3"/>
  <c r="E54" i="3"/>
  <c r="B53" i="3"/>
  <c r="E53" i="3"/>
  <c r="B52" i="3"/>
  <c r="E52" i="3"/>
  <c r="B51" i="3"/>
  <c r="E51" i="3"/>
  <c r="B50" i="3"/>
  <c r="E50" i="3"/>
  <c r="B48" i="3"/>
  <c r="E48" i="3"/>
  <c r="B47" i="3"/>
  <c r="E47" i="3"/>
  <c r="B46" i="3"/>
  <c r="E46" i="3"/>
  <c r="B44" i="3"/>
  <c r="E44" i="3"/>
  <c r="B42" i="3"/>
  <c r="E42" i="3"/>
  <c r="B40" i="3"/>
  <c r="E40" i="3"/>
  <c r="B39" i="3"/>
  <c r="E39" i="3"/>
  <c r="B38" i="3"/>
  <c r="E38" i="3"/>
  <c r="B36" i="3"/>
  <c r="E36" i="3"/>
  <c r="B34" i="3"/>
  <c r="E34" i="3"/>
  <c r="B32" i="3"/>
  <c r="E32" i="3"/>
  <c r="B17" i="3"/>
  <c r="E17" i="3"/>
  <c r="B16" i="3"/>
  <c r="E16" i="3"/>
  <c r="B14" i="3"/>
  <c r="B28" i="3"/>
  <c r="B30" i="3"/>
  <c r="B26" i="3"/>
  <c r="B24" i="3"/>
  <c r="B22" i="3"/>
  <c r="B20" i="3"/>
  <c r="B18" i="3"/>
  <c r="A9" i="4"/>
  <c r="E9" i="4" l="1" a="1"/>
  <c r="E5" i="3"/>
  <c r="F4" i="3" s="1"/>
  <c r="F3" i="3"/>
  <c r="G4" i="3"/>
  <c r="F59" i="3"/>
  <c r="G59" i="3"/>
  <c r="G55" i="3"/>
  <c r="F55" i="3"/>
  <c r="F19" i="3"/>
  <c r="G19" i="3"/>
  <c r="G45" i="3"/>
  <c r="F45" i="3"/>
  <c r="G41" i="3"/>
  <c r="F41" i="3"/>
  <c r="F21" i="3"/>
  <c r="G21" i="3"/>
  <c r="G61" i="3"/>
  <c r="F61" i="3"/>
  <c r="F43" i="3"/>
  <c r="G43" i="3"/>
  <c r="G49" i="3"/>
  <c r="F49" i="3"/>
  <c r="F37" i="3"/>
  <c r="G37" i="3"/>
  <c r="F25" i="3"/>
  <c r="G25" i="3"/>
  <c r="F31" i="3"/>
  <c r="G31" i="3"/>
  <c r="F29" i="3"/>
  <c r="G29" i="3"/>
  <c r="F27" i="3"/>
  <c r="G27" i="3"/>
  <c r="F23" i="3"/>
  <c r="G23" i="3"/>
  <c r="G15" i="3"/>
  <c r="F15" i="3"/>
  <c r="F57" i="3"/>
  <c r="G57" i="3"/>
  <c r="G35" i="3"/>
  <c r="F35" i="3"/>
  <c r="F33" i="3"/>
  <c r="G33" i="3"/>
  <c r="F60" i="3"/>
  <c r="G60" i="3"/>
  <c r="F58" i="3"/>
  <c r="G58" i="3"/>
  <c r="G56" i="3"/>
  <c r="F56" i="3"/>
  <c r="F54" i="3"/>
  <c r="G54" i="3"/>
  <c r="G53" i="3"/>
  <c r="F53" i="3"/>
  <c r="G52" i="3"/>
  <c r="F52" i="3"/>
  <c r="G51" i="3"/>
  <c r="F51" i="3"/>
  <c r="F50" i="3"/>
  <c r="G50" i="3"/>
  <c r="G48" i="3"/>
  <c r="F48" i="3"/>
  <c r="F47" i="3"/>
  <c r="G47" i="3"/>
  <c r="G46" i="3"/>
  <c r="F46" i="3"/>
  <c r="G44" i="3"/>
  <c r="F44" i="3"/>
  <c r="G42" i="3"/>
  <c r="F42" i="3"/>
  <c r="F40" i="3"/>
  <c r="G40" i="3"/>
  <c r="G39" i="3"/>
  <c r="F39" i="3"/>
  <c r="G38" i="3"/>
  <c r="F38" i="3"/>
  <c r="G36" i="3"/>
  <c r="F36" i="3"/>
  <c r="F34" i="3"/>
  <c r="G34" i="3"/>
  <c r="G32" i="3"/>
  <c r="F32" i="3"/>
  <c r="F17" i="3"/>
  <c r="G17" i="3"/>
  <c r="G16" i="3"/>
  <c r="F16" i="3"/>
  <c r="C4" i="2"/>
  <c r="E4" i="2" s="1"/>
  <c r="A5" i="2"/>
  <c r="D5" i="2" s="1"/>
  <c r="C3" i="1"/>
  <c r="A10" i="4"/>
  <c r="E10" i="4" l="1" a="1"/>
  <c r="G5" i="3"/>
  <c r="E6" i="3"/>
  <c r="F5" i="3" s="1"/>
  <c r="B5" i="2"/>
  <c r="A11" i="4"/>
  <c r="E11" i="4" l="1" a="1"/>
  <c r="C5" i="2"/>
  <c r="E5" i="2" s="1"/>
  <c r="A6" i="2"/>
  <c r="G6" i="3"/>
  <c r="E7" i="3"/>
  <c r="F6" i="3" s="1"/>
  <c r="A12" i="4"/>
  <c r="E12" i="4" l="1" a="1"/>
  <c r="D6" i="2"/>
  <c r="B6" i="2"/>
  <c r="G7" i="3"/>
  <c r="E8" i="3"/>
  <c r="F7" i="3" s="1"/>
  <c r="A13" i="4"/>
  <c r="E13" i="4" l="1" a="1"/>
  <c r="A7" i="2"/>
  <c r="C6" i="2"/>
  <c r="E6" i="2" s="1"/>
  <c r="G8" i="3"/>
  <c r="E9" i="3"/>
  <c r="F8" i="3" s="1"/>
  <c r="A14" i="4"/>
  <c r="E14" i="4" l="1" a="1"/>
  <c r="D7" i="2"/>
  <c r="B7" i="2"/>
  <c r="G9" i="3"/>
  <c r="E10" i="3"/>
  <c r="F9" i="3" s="1"/>
  <c r="A15" i="4"/>
  <c r="E15" i="4" l="1" a="1"/>
  <c r="A8" i="2"/>
  <c r="C7" i="2"/>
  <c r="E7" i="2" s="1"/>
  <c r="G10" i="3"/>
  <c r="E11" i="3"/>
  <c r="F10" i="3" s="1"/>
  <c r="A16" i="4"/>
  <c r="E16" i="4" l="1" a="1"/>
  <c r="B8" i="2"/>
  <c r="D8" i="2"/>
  <c r="G11" i="3"/>
  <c r="E12" i="3"/>
  <c r="F11" i="3" s="1"/>
  <c r="A17" i="4"/>
  <c r="E17" i="4" l="1" a="1"/>
  <c r="A9" i="2"/>
  <c r="C8" i="2"/>
  <c r="E8" i="2" s="1"/>
  <c r="G12" i="3"/>
  <c r="E13" i="3"/>
  <c r="F12" i="3" s="1"/>
  <c r="A18" i="4"/>
  <c r="E18" i="4" l="1" a="1"/>
  <c r="B9" i="2"/>
  <c r="D9" i="2"/>
  <c r="G13" i="3"/>
  <c r="F13" i="3"/>
  <c r="A19" i="4"/>
  <c r="E19" i="4" l="1" a="1"/>
  <c r="A10" i="2"/>
  <c r="C9" i="2"/>
  <c r="E9" i="2" s="1"/>
  <c r="A20" i="4"/>
  <c r="E20" i="4" l="1" a="1"/>
  <c r="D10" i="2"/>
  <c r="B10" i="2"/>
  <c r="A21" i="4"/>
  <c r="E21" i="4" l="1" a="1"/>
  <c r="C10" i="2"/>
  <c r="E10" i="2" s="1"/>
  <c r="A11" i="2"/>
  <c r="A22" i="4"/>
  <c r="E22" i="4" l="1" a="1"/>
  <c r="B11" i="2"/>
  <c r="D11" i="2"/>
  <c r="A23" i="4"/>
  <c r="E23" i="4" l="1" a="1"/>
  <c r="C11" i="2"/>
  <c r="E11" i="2" s="1"/>
  <c r="A12" i="2"/>
  <c r="A24" i="4"/>
  <c r="E24" i="4" l="1" a="1"/>
  <c r="B12" i="2"/>
  <c r="D12" i="2"/>
  <c r="A25" i="4"/>
  <c r="E25" i="4" l="1" a="1"/>
  <c r="A13" i="2"/>
  <c r="C12" i="2"/>
  <c r="E12" i="2" s="1"/>
  <c r="A26" i="4"/>
  <c r="E26" i="4" l="1" a="1"/>
  <c r="B13" i="2"/>
  <c r="D13" i="2"/>
  <c r="A27" i="4"/>
  <c r="E27" i="4" l="1" a="1"/>
  <c r="A14" i="2"/>
  <c r="C13" i="2"/>
  <c r="E13" i="2" s="1"/>
  <c r="A28" i="4"/>
  <c r="E28" i="4" l="1" a="1"/>
  <c r="B14" i="2"/>
  <c r="D14" i="2"/>
  <c r="A29" i="4"/>
  <c r="E29" i="4" l="1" a="1"/>
  <c r="A15" i="2"/>
  <c r="C14" i="2"/>
  <c r="E14" i="2" s="1"/>
  <c r="A30" i="4"/>
  <c r="E30" i="4" l="1" a="1"/>
  <c r="B15" i="2"/>
  <c r="D15" i="2"/>
  <c r="A31" i="4"/>
  <c r="E31" i="4" l="1" a="1"/>
  <c r="C15" i="2"/>
  <c r="E15" i="2" s="1"/>
  <c r="A16" i="2"/>
  <c r="A32" i="4"/>
  <c r="E32" i="4" l="1" a="1"/>
  <c r="D16" i="2"/>
  <c r="B16" i="2"/>
  <c r="A33" i="4"/>
  <c r="E33" i="4" l="1" a="1"/>
  <c r="C16" i="2"/>
  <c r="E16" i="2" s="1"/>
  <c r="A17" i="2"/>
  <c r="A34" i="4"/>
  <c r="E34" i="4" l="1" a="1"/>
  <c r="B17" i="2"/>
  <c r="D17" i="2"/>
  <c r="A35" i="4"/>
  <c r="E35" i="4" l="1" a="1"/>
  <c r="A18" i="2"/>
  <c r="C17" i="2"/>
  <c r="E17" i="2" s="1"/>
  <c r="A36" i="4"/>
  <c r="E36" i="4" l="1" a="1"/>
  <c r="B18" i="2"/>
  <c r="D18" i="2"/>
  <c r="A37" i="4"/>
  <c r="E37" i="4" l="1" a="1"/>
  <c r="C18" i="2"/>
  <c r="E18" i="2" s="1"/>
  <c r="A19" i="2"/>
  <c r="A38" i="4"/>
  <c r="E38" i="4" l="1" a="1"/>
  <c r="D19" i="2"/>
  <c r="B19" i="2"/>
  <c r="A20" i="2" l="1"/>
  <c r="C19" i="2"/>
  <c r="E19" i="2" s="1"/>
  <c r="B20" i="2" l="1"/>
  <c r="D20" i="2"/>
  <c r="A21" i="2" l="1"/>
  <c r="C20" i="2"/>
  <c r="E20" i="2" s="1"/>
  <c r="B21" i="2" l="1"/>
  <c r="D21" i="2"/>
  <c r="A22" i="2" l="1"/>
  <c r="C21" i="2"/>
  <c r="E21" i="2" s="1"/>
  <c r="B22" i="2" l="1"/>
  <c r="D22" i="2"/>
  <c r="A23" i="2" l="1"/>
  <c r="C22" i="2"/>
  <c r="E22" i="2" s="1"/>
  <c r="B23" i="2" l="1"/>
  <c r="D23" i="2"/>
  <c r="A24" i="2" l="1"/>
  <c r="C23" i="2"/>
  <c r="E23" i="2" s="1"/>
  <c r="D24" i="2" l="1"/>
  <c r="B24" i="2"/>
  <c r="A25" i="2" l="1"/>
  <c r="C24" i="2"/>
  <c r="E24" i="2" s="1"/>
  <c r="D25" i="2" l="1"/>
  <c r="B25" i="2"/>
  <c r="C25" i="2" l="1"/>
  <c r="E25" i="2" s="1"/>
  <c r="A26" i="2"/>
  <c r="D26" i="2" l="1"/>
  <c r="B26" i="2"/>
  <c r="A27" i="2" l="1"/>
  <c r="C26" i="2"/>
  <c r="E26" i="2" s="1"/>
  <c r="B27" i="2" l="1"/>
  <c r="D27" i="2"/>
  <c r="C27" i="2" l="1"/>
  <c r="E27" i="2" s="1"/>
  <c r="A28" i="2"/>
  <c r="B28" i="2" l="1"/>
  <c r="D28" i="2"/>
  <c r="A29" i="2" l="1"/>
  <c r="C28" i="2"/>
  <c r="E28" i="2" s="1"/>
  <c r="B29" i="2" l="1"/>
  <c r="D29" i="2"/>
  <c r="C29" i="2" l="1"/>
  <c r="E29" i="2" s="1"/>
  <c r="A30" i="2"/>
  <c r="B30" i="2" l="1"/>
  <c r="D30" i="2"/>
  <c r="A31" i="2" l="1"/>
  <c r="C30" i="2"/>
  <c r="E30" i="2" s="1"/>
  <c r="B31" i="2" l="1"/>
  <c r="D31" i="2"/>
  <c r="A32" i="2" l="1"/>
  <c r="C31" i="2"/>
  <c r="E31" i="2" s="1"/>
  <c r="B32" i="2" l="1"/>
  <c r="D32" i="2"/>
  <c r="C32" i="2"/>
  <c r="E32" i="2" s="1"/>
  <c r="A33" i="2"/>
  <c r="D33" i="2" l="1"/>
  <c r="B33" i="2"/>
  <c r="C33" i="2" l="1"/>
  <c r="E33" i="2" s="1"/>
  <c r="A34" i="2"/>
  <c r="B34" i="2" l="1"/>
  <c r="D34" i="2"/>
  <c r="A35" i="2" l="1"/>
  <c r="C34" i="2"/>
  <c r="E34" i="2" s="1"/>
  <c r="D35" i="2" l="1"/>
  <c r="B35" i="2"/>
  <c r="C35" i="2" l="1"/>
  <c r="E35" i="2" s="1"/>
  <c r="A36" i="2"/>
  <c r="B36" i="2" l="1"/>
  <c r="D36" i="2"/>
  <c r="C36" i="2" l="1"/>
  <c r="E36" i="2" s="1"/>
  <c r="A37" i="2"/>
  <c r="B37" i="2" l="1"/>
  <c r="D37" i="2"/>
  <c r="A38" i="2"/>
  <c r="C37" i="2"/>
  <c r="E37" i="2" s="1"/>
  <c r="B38" i="2" l="1"/>
  <c r="D38" i="2"/>
  <c r="A39" i="2" l="1"/>
  <c r="C38" i="2"/>
  <c r="E38" i="2" s="1"/>
  <c r="D39" i="2" l="1"/>
  <c r="B39" i="2"/>
  <c r="A40" i="2" l="1"/>
  <c r="C39" i="2"/>
  <c r="E39" i="2" s="1"/>
  <c r="D40" i="2" l="1"/>
  <c r="B40" i="2"/>
  <c r="C40" i="2" l="1"/>
  <c r="E40" i="2" s="1"/>
  <c r="A41" i="2"/>
  <c r="B41" i="2" l="1"/>
  <c r="D41" i="2"/>
  <c r="A42" i="2" l="1"/>
  <c r="C41" i="2"/>
  <c r="E41" i="2" s="1"/>
  <c r="D42" i="2" l="1"/>
  <c r="B42" i="2"/>
  <c r="A43" i="2" l="1"/>
  <c r="C42" i="2"/>
  <c r="E42" i="2" s="1"/>
  <c r="D43" i="2" l="1"/>
  <c r="B43" i="2"/>
  <c r="C43" i="2" l="1"/>
  <c r="E43" i="2" s="1"/>
  <c r="A44" i="2"/>
  <c r="D44" i="2" l="1"/>
  <c r="B44" i="2"/>
  <c r="C44" i="2" l="1"/>
  <c r="E44" i="2" s="1"/>
  <c r="A45" i="2"/>
  <c r="B45" i="2" l="1"/>
  <c r="D45" i="2"/>
  <c r="C45" i="2" l="1"/>
  <c r="E45" i="2" s="1"/>
  <c r="A46" i="2"/>
  <c r="B46" i="2" l="1"/>
  <c r="D46" i="2"/>
  <c r="A47" i="2" l="1"/>
  <c r="C46" i="2"/>
  <c r="E46" i="2" s="1"/>
  <c r="B47" i="2" l="1"/>
  <c r="D47" i="2"/>
  <c r="C47" i="2" l="1"/>
  <c r="E47" i="2" s="1"/>
  <c r="A48" i="2"/>
  <c r="B48" i="2" l="1"/>
  <c r="D48" i="2"/>
  <c r="C48" i="2" l="1"/>
  <c r="E48" i="2" s="1"/>
  <c r="A49" i="2"/>
  <c r="B49" i="2" l="1"/>
  <c r="D49" i="2"/>
  <c r="C49" i="2" l="1"/>
  <c r="E49" i="2" s="1"/>
  <c r="A50" i="2"/>
  <c r="D50" i="2" l="1"/>
  <c r="B50" i="2"/>
  <c r="C50" i="2" l="1"/>
  <c r="E50" i="2" s="1"/>
  <c r="A51" i="2"/>
  <c r="B51" i="2" l="1"/>
  <c r="D51" i="2"/>
  <c r="A52" i="2" l="1"/>
  <c r="C51" i="2"/>
  <c r="E51" i="2" s="1"/>
  <c r="B52" i="2" l="1"/>
  <c r="D52" i="2"/>
  <c r="A53" i="2" l="1"/>
  <c r="C52" i="2"/>
  <c r="E52" i="2" s="1"/>
  <c r="D53" i="2" l="1"/>
  <c r="B53" i="2"/>
  <c r="A54" i="2" l="1"/>
  <c r="C53" i="2"/>
  <c r="E53" i="2" s="1"/>
  <c r="D54" i="2" l="1"/>
  <c r="B54" i="2"/>
  <c r="A55" i="2" l="1"/>
  <c r="C54" i="2"/>
  <c r="E54" i="2" s="1"/>
  <c r="D55" i="2" l="1"/>
  <c r="B55" i="2"/>
  <c r="A56" i="2" l="1"/>
  <c r="C55" i="2"/>
  <c r="E55" i="2" s="1"/>
  <c r="B56" i="2" l="1"/>
  <c r="D56" i="2"/>
  <c r="A57" i="2" l="1"/>
  <c r="C56" i="2"/>
  <c r="E56" i="2" s="1"/>
  <c r="D57" i="2" l="1"/>
  <c r="B57" i="2"/>
  <c r="C57" i="2" l="1"/>
  <c r="E57" i="2" s="1"/>
  <c r="A58" i="2"/>
  <c r="D58" i="2" s="1"/>
  <c r="B58" i="2"/>
  <c r="C58" i="2" l="1"/>
  <c r="E58" i="2" s="1"/>
  <c r="A59" i="2"/>
  <c r="D59" i="2" l="1"/>
  <c r="B59" i="2"/>
  <c r="A60" i="2" l="1"/>
  <c r="C59" i="2"/>
  <c r="E59" i="2" s="1"/>
  <c r="D60" i="2" l="1"/>
  <c r="B60" i="2"/>
  <c r="C60" i="2" l="1"/>
  <c r="E60" i="2" s="1"/>
  <c r="A61" i="2"/>
  <c r="B61" i="2" l="1"/>
  <c r="D61" i="2"/>
  <c r="C61" i="2" l="1"/>
  <c r="E61" i="2" s="1"/>
  <c r="A62" i="2"/>
  <c r="D62" i="2" l="1"/>
  <c r="B62" i="2"/>
  <c r="C62" i="2" l="1"/>
  <c r="E62" i="2" s="1"/>
  <c r="A63" i="2"/>
  <c r="B63" i="2" l="1"/>
  <c r="D63" i="2"/>
  <c r="C63" i="2" l="1"/>
  <c r="E63" i="2" s="1"/>
  <c r="A64" i="2"/>
  <c r="D64" i="2" l="1"/>
  <c r="B64" i="2"/>
  <c r="C64" i="2" l="1"/>
  <c r="E64" i="2" s="1"/>
  <c r="A65" i="2"/>
  <c r="D65" i="2" l="1"/>
  <c r="B65" i="2"/>
  <c r="C65" i="2" l="1"/>
  <c r="E65" i="2" s="1"/>
  <c r="A66" i="2"/>
  <c r="D66" i="2" l="1"/>
  <c r="B66" i="2"/>
  <c r="C66" i="2" l="1"/>
  <c r="E66" i="2" s="1"/>
  <c r="A67" i="2"/>
  <c r="D67" i="2" l="1"/>
  <c r="B67" i="2"/>
  <c r="C67" i="2" l="1"/>
  <c r="E67" i="2" s="1"/>
  <c r="A68" i="2"/>
  <c r="D68" i="2" l="1"/>
  <c r="B68" i="2"/>
  <c r="C68" i="2" l="1"/>
  <c r="E68" i="2" s="1"/>
  <c r="A69" i="2"/>
  <c r="B69" i="2" l="1"/>
  <c r="D69" i="2"/>
  <c r="A70" i="2" l="1"/>
  <c r="C69" i="2"/>
  <c r="E69" i="2" s="1"/>
  <c r="D70" i="2" l="1"/>
  <c r="B70" i="2"/>
  <c r="A71" i="2" l="1"/>
  <c r="C70" i="2"/>
  <c r="E70" i="2" s="1"/>
  <c r="B71" i="2" l="1"/>
  <c r="D71" i="2"/>
  <c r="C71" i="2" l="1"/>
  <c r="E71" i="2" s="1"/>
  <c r="A72" i="2"/>
  <c r="B72" i="2" l="1"/>
  <c r="D72" i="2"/>
  <c r="C72" i="2"/>
  <c r="E72" i="2" s="1"/>
  <c r="A73" i="2"/>
  <c r="D73" i="2" l="1"/>
  <c r="B73" i="2"/>
  <c r="C73" i="2" l="1"/>
  <c r="E73" i="2" s="1"/>
  <c r="A74" i="2"/>
  <c r="B74" i="2" l="1"/>
  <c r="D74" i="2"/>
  <c r="C74" i="2" l="1"/>
  <c r="E74" i="2" s="1"/>
  <c r="A75" i="2"/>
  <c r="D75" i="2" l="1"/>
  <c r="B75" i="2"/>
  <c r="C75" i="2" l="1"/>
  <c r="E75" i="2" s="1"/>
  <c r="A76" i="2"/>
  <c r="B76" i="2" l="1"/>
  <c r="D76" i="2"/>
  <c r="C76" i="2" l="1"/>
  <c r="E76" i="2" s="1"/>
  <c r="A77" i="2"/>
  <c r="D77" i="2" l="1"/>
  <c r="B77" i="2"/>
  <c r="C77" i="2" l="1"/>
  <c r="E77" i="2" s="1"/>
  <c r="A78" i="2"/>
  <c r="D78" i="2" l="1"/>
  <c r="B78" i="2"/>
  <c r="A79" i="2" l="1"/>
  <c r="C78" i="2"/>
  <c r="E78" i="2" s="1"/>
  <c r="B79" i="2" l="1"/>
  <c r="D79" i="2"/>
  <c r="C79" i="2" l="1"/>
  <c r="E79" i="2" s="1"/>
  <c r="A80" i="2"/>
  <c r="D80" i="2" l="1"/>
  <c r="B80" i="2"/>
  <c r="C80" i="2" l="1"/>
  <c r="E80" i="2" s="1"/>
  <c r="A81" i="2"/>
  <c r="B81" i="2" l="1"/>
  <c r="D81" i="2"/>
  <c r="C81" i="2" l="1"/>
  <c r="E81" i="2" s="1"/>
  <c r="A82" i="2"/>
  <c r="D82" i="2" l="1"/>
  <c r="B82" i="2"/>
  <c r="C82" i="2" l="1"/>
  <c r="E82" i="2" s="1"/>
  <c r="A83" i="2"/>
  <c r="D83" i="2" l="1"/>
  <c r="B83" i="2"/>
  <c r="C83" i="2" l="1"/>
  <c r="E83" i="2" s="1"/>
  <c r="A84" i="2"/>
  <c r="B84" i="2" l="1"/>
  <c r="D84" i="2"/>
  <c r="C84" i="2" l="1"/>
  <c r="E84" i="2" s="1"/>
  <c r="A85" i="2"/>
  <c r="D85" i="2" l="1"/>
  <c r="B85" i="2"/>
  <c r="C85" i="2" l="1"/>
  <c r="E85" i="2" s="1"/>
  <c r="A86" i="2"/>
  <c r="D86" i="2" l="1"/>
  <c r="B86" i="2"/>
  <c r="C86" i="2" l="1"/>
  <c r="E86" i="2" s="1"/>
  <c r="A87" i="2"/>
  <c r="D87" i="2" l="1"/>
  <c r="B87" i="2"/>
  <c r="C87" i="2" l="1"/>
  <c r="E87" i="2" s="1"/>
  <c r="A88" i="2"/>
  <c r="B88" i="2" l="1"/>
  <c r="D88" i="2"/>
  <c r="C88" i="2" l="1"/>
  <c r="E88" i="2" s="1"/>
  <c r="A89" i="2"/>
  <c r="B89" i="2" l="1"/>
  <c r="D89" i="2"/>
  <c r="A90" i="2" l="1"/>
  <c r="C89" i="2"/>
  <c r="E89" i="2" s="1"/>
  <c r="D90" i="2" l="1"/>
  <c r="B90" i="2"/>
  <c r="C90" i="2" l="1"/>
  <c r="E90" i="2" s="1"/>
  <c r="A91" i="2"/>
  <c r="B91" i="2" l="1"/>
  <c r="D91" i="2"/>
  <c r="C91" i="2" l="1"/>
  <c r="E91" i="2" s="1"/>
  <c r="A92" i="2"/>
  <c r="D92" i="2" l="1"/>
  <c r="B92" i="2"/>
  <c r="C92" i="2" l="1"/>
  <c r="E92" i="2" s="1"/>
  <c r="A93" i="2"/>
  <c r="D93" i="2" l="1"/>
  <c r="B93" i="2"/>
  <c r="A94" i="2" l="1"/>
  <c r="C93" i="2"/>
  <c r="E93" i="2" s="1"/>
  <c r="D94" i="2" l="1"/>
  <c r="B94" i="2"/>
  <c r="C94" i="2" l="1"/>
  <c r="E94" i="2" s="1"/>
  <c r="A95" i="2"/>
  <c r="B95" i="2" l="1"/>
  <c r="D95" i="2"/>
  <c r="A96" i="2" l="1"/>
  <c r="C95" i="2"/>
  <c r="E95" i="2" s="1"/>
  <c r="B96" i="2" l="1"/>
  <c r="D96" i="2"/>
  <c r="C96" i="2" l="1"/>
  <c r="E96" i="2" s="1"/>
  <c r="A97" i="2"/>
  <c r="B97" i="2" l="1"/>
  <c r="D97" i="2"/>
  <c r="C97" i="2" l="1"/>
  <c r="E97" i="2" s="1"/>
  <c r="A98" i="2"/>
  <c r="D98" i="2" l="1"/>
  <c r="B98" i="2"/>
  <c r="C98" i="2" l="1"/>
  <c r="E98" i="2" s="1"/>
  <c r="A99" i="2"/>
  <c r="D99" i="2" l="1"/>
  <c r="B99" i="2"/>
  <c r="C99" i="2" l="1"/>
  <c r="E99" i="2" s="1"/>
  <c r="A100" i="2"/>
  <c r="B100" i="2" l="1"/>
  <c r="D100" i="2"/>
  <c r="A101" i="2" l="1"/>
  <c r="C100" i="2"/>
  <c r="D101" i="2" l="1"/>
  <c r="B101" i="2"/>
  <c r="C3" i="2"/>
  <c r="E100" i="2"/>
  <c r="E3" i="2" s="1"/>
  <c r="B5" i="1" s="1"/>
  <c r="A102" i="2" l="1"/>
  <c r="C101" i="2"/>
  <c r="E101" i="2" s="1"/>
  <c r="C8" i="4"/>
  <c r="C9" i="4" s="1"/>
  <c r="C10" i="4" s="1"/>
  <c r="B6" i="1"/>
  <c r="C11" i="4" l="1"/>
  <c r="D10" i="4"/>
  <c r="D9" i="4"/>
  <c r="D102" i="2"/>
  <c r="B102" i="2"/>
  <c r="D8" i="4"/>
  <c r="C12" i="4" l="1"/>
  <c r="D11" i="4"/>
  <c r="A103" i="2"/>
  <c r="C102" i="2"/>
  <c r="E102" i="2" s="1"/>
  <c r="C13" i="4" l="1"/>
  <c r="D12" i="4"/>
  <c r="B103" i="2"/>
  <c r="C103" i="2" s="1"/>
  <c r="E103" i="2" s="1"/>
  <c r="D103" i="2"/>
  <c r="C14" i="4" l="1"/>
  <c r="D13" i="4"/>
  <c r="C15" i="4" l="1"/>
  <c r="D14" i="4"/>
  <c r="C16" i="4" l="1"/>
  <c r="D15" i="4"/>
  <c r="C17" i="4" l="1"/>
  <c r="D16" i="4"/>
  <c r="C18" i="4" l="1"/>
  <c r="D17" i="4"/>
  <c r="C19" i="4" l="1"/>
  <c r="D18" i="4"/>
  <c r="C20" i="4" l="1"/>
  <c r="D19" i="4"/>
  <c r="C21" i="4" l="1"/>
  <c r="D20" i="4"/>
  <c r="C22" i="4" l="1"/>
  <c r="D21" i="4"/>
  <c r="C23" i="4" l="1"/>
  <c r="D22" i="4"/>
  <c r="C24" i="4" l="1"/>
  <c r="D23" i="4"/>
  <c r="C25" i="4" l="1"/>
  <c r="D24" i="4"/>
  <c r="C26" i="4" l="1"/>
  <c r="D25" i="4"/>
  <c r="C27" i="4" l="1"/>
  <c r="D26" i="4"/>
  <c r="C28" i="4" l="1"/>
  <c r="D27" i="4"/>
  <c r="C29" i="4" l="1"/>
  <c r="D28" i="4"/>
  <c r="C30" i="4" l="1"/>
  <c r="D29" i="4"/>
  <c r="C31" i="4" l="1"/>
  <c r="D30" i="4"/>
  <c r="C32" i="4" l="1"/>
  <c r="D31" i="4"/>
  <c r="C33" i="4" l="1"/>
  <c r="D32" i="4"/>
  <c r="C34" i="4" l="1"/>
  <c r="D33" i="4"/>
  <c r="C35" i="4" l="1"/>
  <c r="D34" i="4"/>
  <c r="C36" i="4" l="1"/>
  <c r="D35" i="4"/>
  <c r="C37" i="4" l="1"/>
  <c r="D36" i="4"/>
  <c r="C38" i="4" l="1"/>
  <c r="D38" i="4" s="1"/>
  <c r="D37"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FEEBD71-2E21-4365-A5C1-2C1376018FA5}" keepAlive="1" name="Sorgu - ReeskontGetir" description="Çalışma kitabındaki 'ReeskontGetir' sorgusuna yönelik bağlantı." type="5" refreshedVersion="8" background="1" refreshOnLoad="1" saveData="1">
    <dbPr connection="Provider=Microsoft.Mashup.OleDb.1;Data Source=$Workbook$;Location=ReeskontGetir;Extended Properties=&quot;&quot;" command="SELECT * FROM [ReeskontGetir]"/>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<sst xmlns="http://schemas.openxmlformats.org/spreadsheetml/2006/main" count="46" uniqueCount="44">
  <si>
    <t>KANUNİ FAİZ HESAPLA</t>
  </si>
  <si>
    <t>Ana para:</t>
  </si>
  <si>
    <t>Faiz Başlangıç Tarihi</t>
  </si>
  <si>
    <t>Faiz Bitiş Tarihi</t>
  </si>
  <si>
    <t>Hesaplanan Faiz</t>
  </si>
  <si>
    <t>TOPLAM</t>
  </si>
  <si>
    <t>FAİZ HESAPLAMA TABLOSU</t>
  </si>
  <si>
    <t>GÜN SAYISI</t>
  </si>
  <si>
    <t>FAİZ TUTARI</t>
  </si>
  <si>
    <t>TÜM DÖNEMLER</t>
  </si>
  <si>
    <t>%</t>
  </si>
  <si>
    <t>Yürürlük Tarihi</t>
  </si>
  <si>
    <t>İlga Tarihi</t>
  </si>
  <si>
    <t>Kanuni Faiz (%)</t>
  </si>
  <si>
    <t>Kanuni Faize Esas Reeskont Faizi (%)</t>
  </si>
  <si>
    <t>Değişim</t>
  </si>
  <si>
    <t>Dönem Sonu</t>
  </si>
  <si>
    <t>Kesişim</t>
  </si>
  <si>
    <t>Dönem Başı</t>
  </si>
  <si>
    <t>FAİZ (%)</t>
  </si>
  <si>
    <t>AÇIKLAMALAR</t>
  </si>
  <si>
    <t>https://www.tcmb.gov.tr/wps/wcm/connect/TR/TCMB+TR/Main+Menu/Temel+Faaliyetler/Para+Politikasi/Reeskont+ve+Avans+Faiz+Oranlari</t>
  </si>
  <si>
    <t>TCMB Reeskont Ve avans oranları tablosu iiçin:</t>
  </si>
  <si>
    <t>https://raw.githubusercontent.com/ferhatbkr/tcmb_reeskont_faizi/refs/heads/main/esas.txt</t>
  </si>
  <si>
    <t>Kanuni faizin belirlenme usulü, aşağıdaki kanun hükmüyle düzenlenmektedir:</t>
  </si>
  <si>
    <t>İnternet erişimine sahip bir cihazla soldaki karekodu okutun veya aşağıdaki bağlantıya gidin.</t>
  </si>
  <si>
    <t>* Bu sayfa, hesaplama formüllerinde kullanılan faiz ve tarih kaynak verilerini içermektedir.</t>
  </si>
  <si>
    <t>Tarih</t>
  </si>
  <si>
    <t>Oran</t>
  </si>
  <si>
    <t>* "Kanuni Faize Esas Reeskont Faizi (%)" başlıklı D sütunundaki veriler resmi kaynaktan alınanarak GitHub aracılığıyla internet üzerinden doldurulmaktadır.</t>
  </si>
  <si>
    <t>* Bu sayfadaki hiçbir veri değiştirilmemelidir. Açılıştaki "dış veri engellemesi" uyarısında "İçeriğe İzin Ver" düğmesiyle verilerin güncellenmesi sağlanabilir.</t>
  </si>
  <si>
    <t>* Verilerin elle doldurulması gereken zorunlu hâllerde aşağıdaki bağlantılar kullanılarak kaynak faiz oranlarına ulaşılabilir.</t>
  </si>
  <si>
    <r>
      <rPr>
        <b/>
        <sz val="9"/>
        <rFont val="Carlito"/>
      </rPr>
      <t>Kanuni Faiz</t>
    </r>
    <r>
      <rPr>
        <sz val="9"/>
        <rFont val="Carlito"/>
      </rPr>
      <t xml:space="preserve">
</t>
    </r>
    <r>
      <rPr>
        <b/>
        <sz val="9"/>
        <rFont val="Carlito"/>
      </rPr>
      <t>Madde 1</t>
    </r>
    <r>
      <rPr>
        <sz val="9"/>
        <rFont val="Carlito"/>
      </rPr>
      <t xml:space="preserve"> – (Değişik:16/7/2026-7589/10 md.)  
11/1/2011 tarihli ve 6098 sayılı Türk Borçlar Kanunu ile 13/1/2011 tarihli ve 6102 sayılı Türk Ticaret Kanununa göre faiz ödenmesi gereken hallerde, miktarı sözleşme ile tespit edilmemişse bu ödeme yıllık, Türkiye Cumhuriyet Merkez Bankasının önceki yılın 31 Aralık günü kısa vadeli kredi işlemlerinde uyguladığı reeskont oranının yüzde sekseni üzerinden yapılır. Söz konusu reeskont oranı, 30 Haziran günü önceki yılın 31 Aralık günü uygulanan reeskont oranından beş puan veya daha çok farklı ise, yılın ikinci yarısında 30 Haziran günü belirlenen oranın yüzde sekseni geçerli olur.</t>
    </r>
  </si>
  <si>
    <t>3095 Sayılı Kanuni Faiz ve Temerrüt Faizine İlişkin Kanun</t>
  </si>
  <si>
    <t>Resmi kaynaktan alınan verilerin olduğu GİtHub sayfası için:</t>
  </si>
  <si>
    <t>İnternet erişimine sahip bir cihazla sağdaki karekodu okutun veya aşağıdaki bağlantıya gidin.</t>
  </si>
  <si>
    <t>oluşturan Av. Ferhat Bakıroğlu</t>
  </si>
  <si>
    <t>HESAPLAMA TARİHİ İTİBARIYLA BORCA İŞLEYECEK OTUZ GÜNLÜK FAİZ TABLOSU</t>
  </si>
  <si>
    <t>Hesaplamanın Yapıldığı Tarih</t>
  </si>
  <si>
    <t>Hesaplamanın yapıldığı tarih itibarıyla otuz günlük süre için işleyecek faiz aşağıdaki gibidir. Ödeme yapılacak güne karşılık gelen toplam miktarın ödenmesi gerekmektedir.</t>
  </si>
  <si>
    <t>Kanuni Faiz Oranı (%)</t>
  </si>
  <si>
    <t>İşleyen Faiz</t>
  </si>
  <si>
    <t>Ödenecek Toplam</t>
  </si>
  <si>
    <t>Bu elektronik tablonun çalışması için bu sayfayı düzenlemeyin, silmeyin, yeniden adlandırmayın veya başka herhangi bir işlem yapmayın.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</si>
</sst>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dd\.mm\.yyyy"/>
    <numFmt numFmtId="165" formatCode="&quot;%&quot;#.##"/>
    <numFmt numFmtId="166" formatCode="&quot;₺&quot;#,##0.00"/>
    <numFmt numFmtId="167" formatCode="#\ &quot;gün&quot;"/>
    <numFmt numFmtId="168" formatCode="dd/mm/yyyy;@"/>
    <numFmt numFmtId="169" formatCode="&quot;%&quot;0;#.##"/>
  </numFmts>
  <fonts count="13">
    <font>
      <sz val="11"/>
      <name val="Carlito"/>
    </font>
    <font>
      <b/>
      <sz val="11"/>
      <name val="Carlito"/>
    </font>
    <font>
      <b/>
      <sz val="18"/>
      <name val="Carlito"/>
    </font>
    <font>
      <sz val="18"/>
      <name val="Carlito"/>
    </font>
    <font>
      <b/>
      <sz val="14"/>
      <name val="Carlito"/>
    </font>
    <font>
      <b/>
      <sz val="14"/>
      <name val="Carlito"/>
    </font>
    <font>
      <sz val="14"/>
      <name val="Carlito"/>
    </font>
    <font>
      <b/>
      <sz val="12"/>
      <name val="Carlito"/>
    </font>
    <font>
      <b/>
      <sz val="11"/>
      <name val="Carlito"/>
      <charset val="162"/>
    </font>
    <font>
      <u/>
      <sz val="11"/>
      <color theme="10"/>
      <name val="Carlito"/>
    </font>
    <font>
      <sz val="11"/>
      <name val="Carlito"/>
      <charset val="162"/>
    </font>
    <font>
      <sz val="9"/>
      <name val="Carlito"/>
    </font>
    <font>
      <b/>
      <sz val="9"/>
      <name val="Carlito"/>
    </font>
  </fonts>
  <fills count="2">
    <fill>
      <patternFill patternType="none"/>
    </fill>
    <fill>
      <patternFill patternType="gray125"/>
    </fill>
  </fills>
  <borders count="1">
    <border>
      <left/>
      <right/>
      <top/>
      <bottom/>
      <diagonal/>
    </border>
  </borders>
  <cellStyleXfs count="2">
    <xf numFmtId="0" fontId="0" fillId="0" borderId="0"/>
    <xf numFmtId="0" fontId="9" fillId="0" borderId="0" applyNumberFormat="0" applyFill="0" applyBorder="0" applyAlignment="0" applyProtection="0"/>
  </cellStyleXfs>
  <cellXfs count="51">
    <xf numFmtId="0" fontId="0" fillId="0" borderId="0" xfId="0"/>
    <xf numFmtId="0" fontId="0" fillId="0" borderId="0" xfId="0" applyAlignment="1">
      <alignment wrapText="1"/>
    </xf>
    <xf numFmtId="0" fontId="4" fillId="0" borderId="0" xfId="0" applyFont="1" applyAlignment="1">
      <alignment horizontal="right" vertical="center" wrapText="1"/>
    </xf>
    <xf numFmtId="0" fontId="5" fillId="0" borderId="0" xfId="0" applyFont="1" applyAlignment="1">
      <alignment horizontal="right" vertical="center" wrapText="1"/>
    </xf>
    <xf numFmtId="166" fontId="6" fillId="0" borderId="0" xfId="0" applyNumberFormat="1" applyFont="1" applyAlignment="1">
      <alignment vertical="center" wrapText="1"/>
    </xf>
    <xf numFmtId="166" fontId="4" fillId="0" borderId="0" xfId="0" applyNumberFormat="1" applyFont="1" applyAlignment="1">
      <alignment vertical="center" wrapText="1"/>
    </xf>
    <xf numFmtId="0" fontId="0" fillId="0" borderId="0" xfId="0" applyAlignment="1">
      <alignment vertical="center"/>
    </xf>
    <xf numFmtId="0" fontId="0" fillId="0" borderId="0" xfId="0" applyAlignment="1">
      <alignment vertical="center" wrapText="1"/>
    </xf>
    <xf numFmtId="0" fontId="7" fillId="0" borderId="0" xfId="0" applyFont="1" applyAlignment="1">
      <alignment vertical="center" wrapText="1"/>
    </xf>
    <xf numFmtId="167" fontId="7" fillId="0" borderId="0" xfId="0" applyNumberFormat="1" applyFont="1" applyAlignment="1">
      <alignment vertical="center" wrapText="1"/>
    </xf>
    <xf numFmtId="166" fontId="7" fillId="0" borderId="0" xfId="0" applyNumberFormat="1" applyFont="1" applyAlignment="1">
      <alignment vertical="center" wrapText="1"/>
    </xf>
    <xf numFmtId="164" fontId="0" fillId="0" borderId="0" xfId="0" applyNumberFormat="1" applyAlignment="1">
      <alignment vertical="center" wrapText="1"/>
    </xf>
    <xf numFmtId="167" fontId="0" fillId="0" borderId="0" xfId="0" applyNumberFormat="1" applyAlignment="1">
      <alignment vertical="center" wrapText="1"/>
    </xf>
    <xf numFmtId="166" fontId="0" fillId="0" borderId="0" xfId="0" applyNumberFormat="1" applyAlignment="1">
      <alignment vertical="center" wrapText="1"/>
    </xf>
    <xf numFmtId="0" fontId="0" fillId="0" borderId="0" xfId="0" applyAlignment="1">
      <alignment horizontal="center"/>
    </xf>
    <xf numFmtId="0" fontId="10" fillId="0" borderId="0" xfId="0" applyFont="1" applyAlignment="1">
      <alignment wrapText="1"/>
    </xf>
    <xf numFmtId="0" fontId="3" fillId="0" borderId="0" xfId="0" applyFont="1" applyAlignment="1">
      <alignment vertical="center" wrapText="1"/>
    </xf>
    <xf numFmtId="164" fontId="0" fillId="0" borderId="0" xfId="0" applyNumberFormat="1" applyAlignment="1">
      <alignment wrapText="1"/>
    </xf>
    <xf numFmtId="165" fontId="0" fillId="0" borderId="0" xfId="0" applyNumberFormat="1" applyAlignment="1">
      <alignment wrapText="1"/>
    </xf>
    <xf numFmtId="166" fontId="6" fillId="0" borderId="0" xfId="0" applyNumberFormat="1" applyFont="1" applyAlignment="1" applyProtection="1">
      <alignment vertical="center" wrapText="1"/>
      <protection locked="0"/>
    </xf>
    <xf numFmtId="164" fontId="6" fillId="0" borderId="0" xfId="0" applyNumberFormat="1" applyFont="1" applyAlignment="1" applyProtection="1">
      <alignment vertical="center" wrapText="1"/>
      <protection locked="0"/>
    </xf>
    <xf numFmtId="0" fontId="1" fillId="0" borderId="0" xfId="0" applyFont="1" applyAlignment="1">
      <alignment horizontal="center" wrapText="1"/>
    </xf>
    <xf numFmtId="4" fontId="0" fillId="0" borderId="0" xfId="0" applyNumberFormat="1"/>
    <xf numFmtId="166" fontId="0" fillId="0" borderId="0" xfId="0" applyNumberFormat="1"/>
    <xf numFmtId="0" fontId="0" fillId="0" borderId="0" xfId="0" applyProtection="1">
      <protection locked="0"/>
    </xf>
    <xf numFmtId="0" fontId="1" fillId="0" borderId="0" xfId="0" applyFont="1" applyAlignment="1">
      <alignment wrapText="1"/>
    </xf>
    <xf numFmtId="14" fontId="0" fillId="0" borderId="0" xfId="0" applyNumberFormat="1" applyAlignment="1">
      <alignment wrapText="1"/>
    </xf>
    <xf numFmtId="169" fontId="7" fillId="0" borderId="0" xfId="0" applyNumberFormat="1" applyFont="1" applyAlignment="1">
      <alignment horizontal="center" vertical="center" wrapText="1"/>
    </xf>
    <xf numFmtId="169" fontId="0" fillId="0" borderId="0" xfId="0" applyNumberFormat="1" applyAlignment="1">
      <alignment vertical="center" wrapText="1"/>
    </xf>
    <xf numFmtId="0" fontId="4"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0" fillId="0" borderId="0" xfId="0" applyAlignment="1">
      <alignment vertical="center" wrapText="1"/>
    </xf>
    <xf numFmtId="0" fontId="2" fillId="0" borderId="0" xfId="0" applyFont="1" applyAlignment="1">
      <alignment horizontal="center" vertical="center" wrapText="1"/>
    </xf>
    <xf numFmtId="0" fontId="1" fillId="0" borderId="0" xfId="0" applyFont="1" applyAlignment="1">
      <alignment horizontal="center" wrapText="1"/>
    </xf>
    <xf numFmtId="0" fontId="0" fillId="0" borderId="0" xfId="0" applyAlignment="1">
      <alignment horizontal="center" vertical="center" wrapText="1"/>
    </xf>
    <xf numFmtId="0" fontId="1" fillId="0" borderId="0" xfId="0" applyFont="1" applyAlignment="1">
      <alignment horizontal="right" vertical="center" wrapText="1"/>
    </xf>
    <xf numFmtId="168" fontId="1" fillId="0" borderId="0" xfId="0" applyNumberFormat="1" applyFont="1" applyAlignment="1">
      <alignment horizontal="right" vertical="center" wrapText="1"/>
    </xf>
    <xf numFmtId="166" fontId="1" fillId="0" borderId="0" xfId="0" applyNumberFormat="1" applyFont="1" applyAlignment="1">
      <alignment horizontal="right" vertical="center" wrapText="1"/>
    </xf>
    <xf numFmtId="0" fontId="10" fillId="0" borderId="0" xfId="0" applyFont="1"/>
    <xf numFmtId="0" fontId="11" fillId="0" borderId="0" xfId="1" applyFont="1" applyAlignment="1">
      <alignment wrapText="1"/>
    </xf>
    <xf numFmtId="0" fontId="11" fillId="0" borderId="0" xfId="0" applyFont="1" applyAlignment="1">
      <alignment wrapText="1"/>
    </xf>
    <xf numFmtId="0" fontId="11" fillId="0" borderId="0" xfId="0" applyFont="1" applyAlignment="1">
      <alignment vertical="center" wrapText="1"/>
    </xf>
    <xf numFmtId="0" fontId="0" fillId="0" borderId="0" xfId="0" applyAlignment="1">
      <alignment horizontal="right" vertical="center"/>
    </xf>
    <xf numFmtId="0" fontId="0" fillId="0" borderId="0" xfId="0"/>
    <xf numFmtId="0" fontId="11" fillId="0" borderId="0" xfId="0" applyFont="1" applyAlignment="1">
      <alignment vertical="top" wrapText="1"/>
    </xf>
    <xf numFmtId="0" fontId="8" fillId="0" borderId="0" xfId="0" applyFont="1"/>
    <xf numFmtId="0" fontId="8" fillId="0" borderId="0" xfId="0" applyFont="1" applyAlignment="1">
      <alignment wrapText="1"/>
    </xf>
    <xf numFmtId="0" fontId="11" fillId="0" borderId="0" xfId="1" applyFont="1" applyAlignment="1">
      <alignment vertical="center" wrapText="1"/>
    </xf>
    <xf numFmtId="0" fontId="0" fillId="0" borderId="0" xfId="0" applyAlignment="1">
      <alignment horizontal="center"/>
    </xf>
    <xf numFmtId="0" fontId="0" fillId="0" borderId="0" xfId="0" applyAlignment="1">
      <alignment vertical="top" wrapText="1"/>
    </xf>
  </cellXfs>
  <cellStyles count="2">
    <cellStyle name="Köprü" xfId="1" builtinId="8"/>
    <cellStyle name="Normal" xfId="0" builtinId="0"/>
  </cellStyles>
  <dxfs count="6">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numFmt numFmtId="165" formatCode="&quot;%&quot;#.##"/>
      <fill>
        <patternFill patternType="none">
          <fgColor indexed="64"/>
          <bgColor indexed="65"/>
        </patternFill>
      </fill>
      <alignment horizontal="general" vertical="bottom" textRotation="0" wrapText="1" indent="0" justifyLastLine="0" shrinkToFit="0" readingOrder="0"/>
      <protection locked="0" hidden="0"/>
    </dxf>
    <dxf>
      <numFmt numFmtId="164" formatCode="dd\.mm\.yyyy"/>
      <fill>
        <patternFill patternType="none">
          <fgColor indexed="64"/>
          <bgColor indexed="65"/>
        </patternFill>
      </fill>
      <alignment horizontal="general" vertical="bottom" textRotation="0" wrapText="1" indent="0" justifyLastLine="0" shrinkToFit="0" readingOrder="0"/>
      <protection locked="0" hidden="0"/>
    </dxf>
    <dxf>
      <fill>
        <patternFill patternType="none">
          <fgColor auto="1"/>
          <bgColor auto="1"/>
        </patternFill>
      </fill>
      <alignment horizontal="general" vertical="bottom" textRotation="0" wrapText="1" indent="0" justifyLastLine="0" shrinkToFit="0" readingOrder="0"/>
      <protection locked="0" hidden="0"/>
    </dxf>
    <dxf>
      <fill>
        <patternFill patternType="none">
          <fgColor auto="1"/>
          <bgColor auto="1"/>
        </patternFill>
      </fill>
      <alignment horizontal="general" vertical="bottom" textRotation="0" wrapText="1" indent="0" justifyLastLine="0" shrinkToFit="0" readingOrder="0"/>
      <protection locked="0" hidden="0"/>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14</xdr:col>
      <xdr:colOff>1</xdr:colOff>
      <xdr:row>12</xdr:row>
      <xdr:rowOff>1</xdr:rowOff>
    </xdr:from>
    <xdr:to>
      <xdr:col>15</xdr:col>
      <xdr:colOff>556260</xdr:colOff>
      <xdr:row>19</xdr:row>
      <xdr:rowOff>0</xdr:rowOff>
    </xdr:to>
    <xdr:pic>
      <xdr:nvPicPr>
        <xdr:cNvPr id="2" name="/xl/media/image3.png" descr="Resimde, TCMB'nin reeskont ve avans oranlarının yayınlandığı Web adresini içeren karekod bulunuyor.&#10;">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8</xdr:col>
      <xdr:colOff>0</xdr:colOff>
      <xdr:row>21</xdr:row>
      <xdr:rowOff>0</xdr:rowOff>
    </xdr:from>
    <xdr:to>
      <xdr:col>9</xdr:col>
      <xdr:colOff>556260</xdr:colOff>
      <xdr:row>28</xdr:row>
      <xdr:rowOff>0</xdr:rowOff>
    </xdr:to>
    <xdr:pic>
      <xdr:nvPicPr>
        <xdr:cNvPr id="3" name="/xl/media/image4.png" descr="Resimde, TCMB'nin resmi reeskont ve avans oranlarının bulunduğu Web sayfasından verilerin alınarak kanuni faizin belirlenmesinde kullanılan oranların filtrelendiği ve ham veri olarak bulunduğu GitHub sayfasına yönlendiren karekod bulunuyor.">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ışVeri_1" refreshOnLoad="1" connectionId="1" xr16:uid="{6730A695-6605-4281-B477-58E15DDDD8C2}" autoFormatId="16" applyNumberFormats="0" applyBorderFormats="0" applyFontFormats="0" applyPatternFormats="0" applyAlignmentFormats="0" applyWidthHeightFormats="0">
  <queryTableRefresh nextId="3">
    <queryTableFields count="2">
      <queryTableField id="1" name="Tarih" tableColumnId="1"/>
      <queryTableField id="2" name="Oran" tableColumnId="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04E846-A6F8-4512-87C1-1C56C2BEB8AD}" name="ReeskontGetir" displayName="ReeskontGetir" ref="A1:B3" tableType="queryTable" totalsRowShown="0" headerRowDxfId="5" dataDxfId="4">
  <autoFilter ref="A1:B3" xr:uid="{3204E846-A6F8-4512-87C1-1C56C2BEB8AD}"/>
  <tableColumns count="2">
    <tableColumn id="1" xr3:uid="{B4B614CC-7E86-4F6B-B537-59A088F01F37}" uniqueName="1" name="Tarih" queryTableFieldId="1" dataDxfId="3"/>
    <tableColumn id="2" xr3:uid="{65746B64-6E40-4113-AF83-1F71948EA2B3}" uniqueName="2" name="Oran" queryTableFieldId="2" dataDxfId="2"/>
  </tableColumns>
  <tableStyleInfo name="TableStyleMedium7" showFirstColumn="0" showLastColumn="0" showRowStripes="1" showColumnStripes="0"/>
</table>
</file>

<file path=xl/theme/theme1.xml><?xml version="1.0" encoding="utf-8"?>
<a:theme xmlns:a="http://schemas.openxmlformats.org/drawingml/2006/main" name="ChatGPT">
  <a:themeElements>
    <a:clrScheme name="ChatGPT">
      <a:dk1>
        <a:sysClr val="windowText" lastClr="C0C0C0"/>
      </a:dk1>
      <a:lt1>
        <a:sysClr val="window" lastClr="000000"/>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3.bin"/><Relationship Id="rId1" Type="http://schemas.openxmlformats.org/officeDocument/2006/relationships/hyperlink" Target="https://www.tcmb.gov.tr/wps/wcm/connect/TR/TCMB+TR/Main+Menu/Temel+Faaliyetler/Para+Politikasi/Reeskont+ve+Avans+Faiz+Oranlari" TargetMode="Externa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0B77E-384E-4D2A-817C-AC2A3F9A1FC1}">
  <dimension ref="A1:F6"/>
  <sheetViews>
    <sheetView showGridLines="0" tabSelected="1" workbookViewId="0">
      <selection sqref="A1:B1"/>
    </sheetView>
  </sheetViews>
  <sheetFormatPr defaultRowHeight="13.8"/>
  <cols>
    <col min="1" max="1" width="16.59765625" customWidth="1"/>
    <col min="2" max="2" width="22.3984375" customWidth="1"/>
    <col min="3" max="6" width="18" customWidth="1"/>
  </cols>
  <sheetData>
    <row r="1" spans="1:6" ht="30.6" customHeight="1">
      <c r="A1" s="33" t="s">
        <v>0</v>
      </c>
      <c r="B1" s="33"/>
      <c r="C1" s="16"/>
      <c r="D1" s="1"/>
      <c r="E1" s="1"/>
      <c r="F1" s="1"/>
    </row>
    <row r="2" spans="1:6" ht="28.8" customHeight="1">
      <c r="A2" s="2" t="s">
        <v>1</v>
      </c>
      <c r="B2" s="19">
        <v>100000</v>
      </c>
      <c r="C2" s="1"/>
      <c r="D2" s="1"/>
      <c r="E2" s="1"/>
      <c r="F2" s="1"/>
    </row>
    <row r="3" spans="1:6" ht="28.8" customHeight="1">
      <c r="A3" s="2" t="s">
        <v>2</v>
      </c>
      <c r="B3" s="20">
        <v>1</v>
      </c>
      <c r="C3" s="32" t="str">
        <f ca="1">IF(OR(B3="",B4="",B4&lt;=MAX('Kaynak Veri'!$B$2:$B$100)),"","DİKKAT: Girilen tarih aralığında kanuni faiz oranı henüz belirlenmemiş bir dönem bulunuyor. "&amp;DAY(MAX(B3,MAX('Kaynak Veri'!$B$2:$B$100)+1))&amp;"."&amp;MONTH(MAX(B3,MAX('Kaynak Veri'!$B$2:$B$100)+1))&amp;"."&amp;YEAR(MAX(B3,MAX('Kaynak Veri'!$B$2:$B$100)+1))&amp;" - "&amp;DAY(B4)&amp;"."&amp;MONTH(B4)&amp;"."&amp;YEAR(B4)&amp;" tarihleri arasında bilinen son kanuni faiz oranı kullanılmıştır.")</f>
        <v/>
      </c>
      <c r="D3" s="32"/>
      <c r="E3" s="32"/>
      <c r="F3" s="32"/>
    </row>
    <row r="4" spans="1:6" ht="28.8" customHeight="1">
      <c r="A4" s="2" t="s">
        <v>3</v>
      </c>
      <c r="B4" s="20">
        <f ca="1">TODAY()</f>
        <v>46265</v>
      </c>
      <c r="C4" s="32"/>
      <c r="D4" s="32"/>
      <c r="E4" s="32"/>
      <c r="F4" s="32"/>
    </row>
    <row r="5" spans="1:6" ht="28.8" customHeight="1">
      <c r="A5" s="3" t="s">
        <v>4</v>
      </c>
      <c r="B5" s="4">
        <f ca="1">'Faiz Tablosu'!E3</f>
        <v>1452295.8904109586</v>
      </c>
      <c r="C5" s="32" t="str" cm="1">
        <f t="array" aca="1" ref="C5" ca="1">IF(AND(TODAY()&gt;=DATE(2026,7,31),LOOKUP(2,1/('Kaynak Veri'!$A$13:$A$61&lt;=TODAY()),'Kaynak Veri'!$D$13:$D$61)=""),"Güncel döneme ait reeskont faiz oranı henüz girilmemiştir. Lütfen ""Kaynak Veri"" sayfasında 31.07.2026 sonrası yayımlanan reeskont faiz oranlarını güncelleyin.","")</f>
        <v/>
      </c>
      <c r="D5" s="32"/>
      <c r="E5" s="32"/>
      <c r="F5" s="32"/>
    </row>
    <row r="6" spans="1:6" ht="28.8" customHeight="1">
      <c r="A6" s="3" t="s">
        <v>5</v>
      </c>
      <c r="B6" s="5">
        <f ca="1">B2+B5</f>
        <v>1552295.8904109586</v>
      </c>
      <c r="C6" s="32"/>
      <c r="D6" s="32"/>
      <c r="E6" s="32"/>
      <c r="F6" s="32"/>
    </row>
  </sheetData>
  <sheetProtection algorithmName="SHA-512" hashValue="7U3sfsioMSM5Z4+Ti3jZCGP0LzCKdXrTb1ZzdfcYNq+gdHjSOOHCT9UtqPybMq++PCkPHNrkDIXsVdelZ2OBng==" saltValue="kuIWrWZUUGb9ztZMHoK4eA==" spinCount="100000" sheet="1" objects="1" scenarios="1"/>
  <mergeCells count="3">
    <mergeCell ref="C3:F4"/>
    <mergeCell ref="C5:F6"/>
    <mergeCell ref="A1:B1"/>
  </mergeCells>
  <dataValidations count="2">
    <dataValidation type="date" allowBlank="1" showInputMessage="1" showErrorMessage="1" errorTitle="Geçersiz Tarih" error="Başlangıç tarihi bitiş tarihinden sonraki bir tarih olamaz. Lütfen geçerli bir tarih giriniz." sqref="B3" xr:uid="{A97A526C-6410-4D41-A8BB-BB2C7270161D}">
      <formula1>1</formula1>
      <formula2>B4</formula2>
    </dataValidation>
    <dataValidation type="date" operator="greaterThanOrEqual" allowBlank="1" showInputMessage="1" showErrorMessage="1" errorTitle="Geçersiz Tarih" error="Bitiş tarihi başlangıç tarihinden önceki bir tarih olamaz. Lütfen geçerli bir tarih giriniz." sqref="B4" xr:uid="{A41E9987-CDB9-4D02-9D5B-0CFC36017878}">
      <formula1>B3</formula1>
    </dataValidation>
  </dataValidations>
  <pageMargins left="0.7" right="0.7" top="0.75" bottom="0.75" header="0.3" footer="0.3"/>
  <pageSetup paperSize="9" orientation="portrait" horizont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B0913D-BF48-4D4D-892B-0C0B134BA5B3}">
  <dimension ref="A1:F103"/>
  <sheetViews>
    <sheetView showGridLines="0" workbookViewId="0">
      <selection sqref="A1:E1"/>
    </sheetView>
  </sheetViews>
  <sheetFormatPr defaultRowHeight="13.8"/>
  <cols>
    <col min="1" max="1" width="12.69921875" style="6" customWidth="1"/>
    <col min="2" max="2" width="14.09765625" style="6" customWidth="1"/>
    <col min="3" max="3" width="12.69921875" style="6" customWidth="1"/>
    <col min="4" max="4" width="8.8984375" style="6" customWidth="1"/>
    <col min="5" max="5" width="15.8984375" style="6" customWidth="1"/>
    <col min="6" max="16384" width="8.796875" style="6"/>
  </cols>
  <sheetData>
    <row r="1" spans="1:6" ht="17.399999999999999">
      <c r="A1" s="29" t="s">
        <v>6</v>
      </c>
      <c r="B1" s="30"/>
      <c r="C1" s="30"/>
      <c r="D1" s="30"/>
      <c r="E1" s="30"/>
      <c r="F1" s="7"/>
    </row>
    <row r="2" spans="1:6" ht="15.6">
      <c r="A2" s="8" t="s">
        <v>18</v>
      </c>
      <c r="B2" s="8" t="s">
        <v>16</v>
      </c>
      <c r="C2" s="8" t="s">
        <v>7</v>
      </c>
      <c r="D2" s="8" t="s">
        <v>19</v>
      </c>
      <c r="E2" s="8" t="s">
        <v>8</v>
      </c>
      <c r="F2" s="7"/>
    </row>
    <row r="3" spans="1:6" ht="27.6" customHeight="1">
      <c r="A3" s="31" t="s">
        <v>9</v>
      </c>
      <c r="B3" s="31"/>
      <c r="C3" s="9">
        <f ca="1">SUM(C4:C100)</f>
        <v>46263</v>
      </c>
      <c r="D3" s="27" t="s">
        <v>10</v>
      </c>
      <c r="E3" s="10">
        <f ca="1">SUM(E4:E100)</f>
        <v>1452295.8904109586</v>
      </c>
      <c r="F3" s="7"/>
    </row>
    <row r="4" spans="1:6">
      <c r="A4" s="11">
        <f ca="1">IF(OR('Faiz Hesaplanan'!$B$3="",'Faiz Hesaplanan'!$B$4="",'Faiz Hesaplanan'!$B$3&gt;'Faiz Hesaplanan'!$B$4),"",'Faiz Hesaplanan'!$B$3)</f>
        <v>1</v>
      </c>
      <c r="B4" s="11">
        <f ca="1">IF(A4="","",MIN('Faiz Hesaplanan'!$B$4,INDEX('Kaynak Veri'!$F$2:$F$61,MATCH(A4,'Kaynak Veri'!$A$2:$A$61,1))))</f>
        <v>30681</v>
      </c>
      <c r="C4" s="12">
        <f ca="1">IF(OR(A4="",B4=""),"",B4-A4+1-IF(B4='Faiz Hesaplanan'!$B$4,1,0)-IF(AND(A4&lt;=60,B4&gt;=60),1,0))</f>
        <v>30680</v>
      </c>
      <c r="D4" s="28">
        <f ca="1">IF(A4="","",INDEX('Kaynak Veri'!$C$2:$C$61,MATCH(A4,'Kaynak Veri'!$A$2:$A$61,1)))</f>
        <v>5</v>
      </c>
      <c r="E4" s="13">
        <f ca="1">IF(OR(C4="",D4=""),"",'Faiz Hesaplanan'!$B$2*D4/100*C4/365)</f>
        <v>420273.9726027397</v>
      </c>
      <c r="F4" s="7"/>
    </row>
    <row r="5" spans="1:6">
      <c r="A5" s="11">
        <f ca="1">IF(OR(B4="",B4&gt;='Faiz Hesaplanan'!$B$4),"",B4+1)</f>
        <v>30682</v>
      </c>
      <c r="B5" s="11">
        <f ca="1">IF(A5="","",MIN('Faiz Hesaplanan'!$B$4,INDEX('Kaynak Veri'!$F$2:$F$61,MATCH(A5,'Kaynak Veri'!$A$2:$A$61,1))))</f>
        <v>35795</v>
      </c>
      <c r="C5" s="12">
        <f ca="1">IF(OR(A5="",B5=""),"",B5-A5+1-IF(B5='Faiz Hesaplanan'!$B$4,1,0)-IF(AND(A5&lt;=60,B5&gt;=60),1,0))</f>
        <v>5114</v>
      </c>
      <c r="D5" s="28">
        <f ca="1">IF(A5="","",INDEX('Kaynak Veri'!$C$2:$C$61,MATCH(A5,'Kaynak Veri'!$A$2:$A$61,1)))</f>
        <v>30</v>
      </c>
      <c r="E5" s="13">
        <f ca="1">IF(OR(C5="",D5=""),"",'Faiz Hesaplanan'!$B$2*D5/100*C5/365)</f>
        <v>420328.76712328766</v>
      </c>
      <c r="F5" s="7"/>
    </row>
    <row r="6" spans="1:6">
      <c r="A6" s="11">
        <f ca="1">IF(OR(B5="",B5&gt;='Faiz Hesaplanan'!$B$4),"",B5+1)</f>
        <v>35796</v>
      </c>
      <c r="B6" s="11">
        <f ca="1">IF(A6="","",MIN('Faiz Hesaplanan'!$B$4,INDEX('Kaynak Veri'!$F$2:$F$61,MATCH(A6,'Kaynak Veri'!$A$2:$A$61,1))))</f>
        <v>36525</v>
      </c>
      <c r="C6" s="12">
        <f ca="1">IF(OR(A6="",B6=""),"",B6-A6+1-IF(B6='Faiz Hesaplanan'!$B$4,1,0)-IF(AND(A6&lt;=60,B6&gt;=60),1,0))</f>
        <v>730</v>
      </c>
      <c r="D6" s="28">
        <f ca="1">IF(A6="","",INDEX('Kaynak Veri'!$C$2:$C$61,MATCH(A6,'Kaynak Veri'!$A$2:$A$61,1)))</f>
        <v>50</v>
      </c>
      <c r="E6" s="13">
        <f ca="1">IF(OR(C6="",D6=""),"",'Faiz Hesaplanan'!$B$2*D6/100*C6/365)</f>
        <v>100000</v>
      </c>
      <c r="F6" s="7"/>
    </row>
    <row r="7" spans="1:6">
      <c r="A7" s="11">
        <f ca="1">IF(OR(B6="",B6&gt;='Faiz Hesaplanan'!$B$4),"",B6+1)</f>
        <v>36526</v>
      </c>
      <c r="B7" s="11">
        <f ca="1">IF(A7="","",MIN('Faiz Hesaplanan'!$B$4,INDEX('Kaynak Veri'!$F$2:$F$61,MATCH(A7,'Kaynak Veri'!$A$2:$A$61,1))))</f>
        <v>37437</v>
      </c>
      <c r="C7" s="12">
        <f ca="1">IF(OR(A7="",B7=""),"",B7-A7+1-IF(B7='Faiz Hesaplanan'!$B$4,1,0)-IF(AND(A7&lt;=60,B7&gt;=60),1,0))</f>
        <v>912</v>
      </c>
      <c r="D7" s="28">
        <f ca="1">IF(A7="","",INDEX('Kaynak Veri'!$C$2:$C$61,MATCH(A7,'Kaynak Veri'!$A$2:$A$61,1)))</f>
        <v>60</v>
      </c>
      <c r="E7" s="13">
        <f ca="1">IF(OR(C7="",D7=""),"",'Faiz Hesaplanan'!$B$2*D7/100*C7/365)</f>
        <v>149917.80821917808</v>
      </c>
      <c r="F7" s="7"/>
    </row>
    <row r="8" spans="1:6">
      <c r="A8" s="11">
        <f ca="1">IF(OR(B7="",B7&gt;='Faiz Hesaplanan'!$B$4),"",B7+1)</f>
        <v>37438</v>
      </c>
      <c r="B8" s="11">
        <f ca="1">IF(A8="","",MIN('Faiz Hesaplanan'!$B$4,INDEX('Kaynak Veri'!$F$2:$F$61,MATCH(A8,'Kaynak Veri'!$A$2:$A$61,1))))</f>
        <v>37802</v>
      </c>
      <c r="C8" s="12">
        <f ca="1">IF(OR(A8="",B8=""),"",B8-A8+1-IF(B8='Faiz Hesaplanan'!$B$4,1,0)-IF(AND(A8&lt;=60,B8&gt;=60),1,0))</f>
        <v>365</v>
      </c>
      <c r="D8" s="28">
        <f ca="1">IF(A8="","",INDEX('Kaynak Veri'!$C$2:$C$61,MATCH(A8,'Kaynak Veri'!$A$2:$A$61,1)))</f>
        <v>55</v>
      </c>
      <c r="E8" s="13">
        <f ca="1">IF(OR(C8="",D8=""),"",'Faiz Hesaplanan'!$B$2*D8/100*C8/365)</f>
        <v>55000</v>
      </c>
      <c r="F8" s="7"/>
    </row>
    <row r="9" spans="1:6">
      <c r="A9" s="11">
        <f ca="1">IF(OR(B8="",B8&gt;='Faiz Hesaplanan'!$B$4),"",B8+1)</f>
        <v>37803</v>
      </c>
      <c r="B9" s="11">
        <f ca="1">IF(A9="","",MIN('Faiz Hesaplanan'!$B$4,INDEX('Kaynak Veri'!$F$2:$F$61,MATCH(A9,'Kaynak Veri'!$A$2:$A$61,1))))</f>
        <v>37986</v>
      </c>
      <c r="C9" s="12">
        <f ca="1">IF(OR(A9="",B9=""),"",B9-A9+1-IF(B9='Faiz Hesaplanan'!$B$4,1,0)-IF(AND(A9&lt;=60,B9&gt;=60),1,0))</f>
        <v>184</v>
      </c>
      <c r="D9" s="28">
        <f ca="1">IF(A9="","",INDEX('Kaynak Veri'!$C$2:$C$61,MATCH(A9,'Kaynak Veri'!$A$2:$A$61,1)))</f>
        <v>50</v>
      </c>
      <c r="E9" s="13">
        <f ca="1">IF(OR(C9="",D9=""),"",'Faiz Hesaplanan'!$B$2*D9/100*C9/365)</f>
        <v>25205.479452054795</v>
      </c>
      <c r="F9" s="7"/>
    </row>
    <row r="10" spans="1:6">
      <c r="A10" s="11">
        <f ca="1">IF(OR(B9="",B9&gt;='Faiz Hesaplanan'!$B$4),"",B9+1)</f>
        <v>37987</v>
      </c>
      <c r="B10" s="11">
        <f ca="1">IF(A10="","",MIN('Faiz Hesaplanan'!$B$4,INDEX('Kaynak Veri'!$F$2:$F$61,MATCH(A10,'Kaynak Veri'!$A$2:$A$61,1))))</f>
        <v>38168</v>
      </c>
      <c r="C10" s="12">
        <f ca="1">IF(OR(A10="",B10=""),"",B10-A10+1-IF(B10='Faiz Hesaplanan'!$B$4,1,0)-IF(AND(A10&lt;=60,B10&gt;=60),1,0))</f>
        <v>182</v>
      </c>
      <c r="D10" s="28">
        <f ca="1">IF(A10="","",INDEX('Kaynak Veri'!$C$2:$C$61,MATCH(A10,'Kaynak Veri'!$A$2:$A$61,1)))</f>
        <v>43</v>
      </c>
      <c r="E10" s="13">
        <f ca="1">IF(OR(C10="",D10=""),"",'Faiz Hesaplanan'!$B$2*D10/100*C10/365)</f>
        <v>21441.095890410958</v>
      </c>
      <c r="F10" s="7"/>
    </row>
    <row r="11" spans="1:6">
      <c r="A11" s="11">
        <f ca="1">IF(OR(B10="",B10&gt;='Faiz Hesaplanan'!$B$4),"",B10+1)</f>
        <v>38169</v>
      </c>
      <c r="B11" s="11">
        <f ca="1">IF(A11="","",MIN('Faiz Hesaplanan'!$B$4,INDEX('Kaynak Veri'!$F$2:$F$61,MATCH(A11,'Kaynak Veri'!$A$2:$A$61,1))))</f>
        <v>38472</v>
      </c>
      <c r="C11" s="12">
        <f ca="1">IF(OR(A11="",B11=""),"",B11-A11+1-IF(B11='Faiz Hesaplanan'!$B$4,1,0)-IF(AND(A11&lt;=60,B11&gt;=60),1,0))</f>
        <v>304</v>
      </c>
      <c r="D11" s="28">
        <f ca="1">IF(A11="","",INDEX('Kaynak Veri'!$C$2:$C$61,MATCH(A11,'Kaynak Veri'!$A$2:$A$61,1)))</f>
        <v>38</v>
      </c>
      <c r="E11" s="13">
        <f ca="1">IF(OR(C11="",D11=""),"",'Faiz Hesaplanan'!$B$2*D11/100*C11/365)</f>
        <v>31649.31506849315</v>
      </c>
      <c r="F11" s="7"/>
    </row>
    <row r="12" spans="1:6">
      <c r="A12" s="11">
        <f ca="1">IF(OR(B11="",B11&gt;='Faiz Hesaplanan'!$B$4),"",B11+1)</f>
        <v>38473</v>
      </c>
      <c r="B12" s="11">
        <f ca="1">IF(A12="","",MIN('Faiz Hesaplanan'!$B$4,INDEX('Kaynak Veri'!$F$2:$F$61,MATCH(A12,'Kaynak Veri'!$A$2:$A$61,1))))</f>
        <v>38717</v>
      </c>
      <c r="C12" s="12">
        <f ca="1">IF(OR(A12="",B12=""),"",B12-A12+1-IF(B12='Faiz Hesaplanan'!$B$4,1,0)-IF(AND(A12&lt;=60,B12&gt;=60),1,0))</f>
        <v>245</v>
      </c>
      <c r="D12" s="28">
        <f ca="1">IF(A12="","",INDEX('Kaynak Veri'!$C$2:$C$61,MATCH(A12,'Kaynak Veri'!$A$2:$A$61,1)))</f>
        <v>12</v>
      </c>
      <c r="E12" s="13">
        <f ca="1">IF(OR(C12="",D12=""),"",'Faiz Hesaplanan'!$B$2*D12/100*C12/365)</f>
        <v>8054.7945205479455</v>
      </c>
      <c r="F12" s="7"/>
    </row>
    <row r="13" spans="1:6">
      <c r="A13" s="11">
        <f ca="1">IF(OR(B12="",B12&gt;='Faiz Hesaplanan'!$B$4),"",B12+1)</f>
        <v>38718</v>
      </c>
      <c r="B13" s="11">
        <f ca="1">IF(A13="","",MIN('Faiz Hesaplanan'!$B$4,INDEX('Kaynak Veri'!$F$2:$F$61,MATCH(A13,'Kaynak Veri'!$A$2:$A$61,1))))</f>
        <v>45443</v>
      </c>
      <c r="C13" s="12">
        <f ca="1">IF(OR(A13="",B13=""),"",B13-A13+1-IF(B13='Faiz Hesaplanan'!$B$4,1,0)-IF(AND(A13&lt;=60,B13&gt;=60),1,0))</f>
        <v>6726</v>
      </c>
      <c r="D13" s="28">
        <f ca="1">IF(A13="","",INDEX('Kaynak Veri'!$C$2:$C$61,MATCH(A13,'Kaynak Veri'!$A$2:$A$61,1)))</f>
        <v>9</v>
      </c>
      <c r="E13" s="13">
        <f ca="1">IF(OR(C13="",D13=""),"",'Faiz Hesaplanan'!$B$2*D13/100*C13/365)</f>
        <v>165846.57534246575</v>
      </c>
      <c r="F13" s="7"/>
    </row>
    <row r="14" spans="1:6">
      <c r="A14" s="11">
        <f ca="1">IF(OR(B13="",B13&gt;='Faiz Hesaplanan'!$B$4),"",B13+1)</f>
        <v>45444</v>
      </c>
      <c r="B14" s="11">
        <f ca="1">IF(A14="","",MIN('Faiz Hesaplanan'!$B$4,INDEX('Kaynak Veri'!$F$2:$F$61,MATCH(A14,'Kaynak Veri'!$A$2:$A$61,1))))</f>
        <v>46233</v>
      </c>
      <c r="C14" s="12">
        <f ca="1">IF(OR(A14="",B14=""),"",B14-A14+1-IF(B14='Faiz Hesaplanan'!$B$4,1,0)-IF(AND(A14&lt;=60,B14&gt;=60),1,0))</f>
        <v>790</v>
      </c>
      <c r="D14" s="28">
        <f ca="1">IF(A14="","",INDEX('Kaynak Veri'!$C$2:$C$61,MATCH(A14,'Kaynak Veri'!$A$2:$A$61,1)))</f>
        <v>24</v>
      </c>
      <c r="E14" s="13">
        <f ca="1">IF(OR(C14="",D14=""),"",'Faiz Hesaplanan'!$B$2*D14/100*C14/365)</f>
        <v>51945.205479452052</v>
      </c>
      <c r="F14" s="7"/>
    </row>
    <row r="15" spans="1:6">
      <c r="A15" s="11">
        <f ca="1">IF(OR(B14="",B14&gt;='Faiz Hesaplanan'!$B$4),"",B14+1)</f>
        <v>46234</v>
      </c>
      <c r="B15" s="11">
        <f ca="1">IF(A15="","",MIN('Faiz Hesaplanan'!$B$4,INDEX('Kaynak Veri'!$F$2:$F$61,MATCH(A15,'Kaynak Veri'!$A$2:$A$61,1))))</f>
        <v>46265</v>
      </c>
      <c r="C15" s="12">
        <f ca="1">IF(OR(A15="",B15=""),"",B15-A15+1-IF(B15='Faiz Hesaplanan'!$B$4,1,0)-IF(AND(A15&lt;=60,B15&gt;=60),1,0))</f>
        <v>31</v>
      </c>
      <c r="D15" s="28">
        <f ca="1">IF(A15="","",INDEX('Kaynak Veri'!$C$2:$C$61,MATCH(A15,'Kaynak Veri'!$A$2:$A$61,1)))</f>
        <v>31</v>
      </c>
      <c r="E15" s="13">
        <f ca="1">IF(OR(C15="",D15=""),"",'Faiz Hesaplanan'!$B$2*D15/100*C15/365)</f>
        <v>2632.8767123287671</v>
      </c>
      <c r="F15" s="7"/>
    </row>
    <row r="16" spans="1:6">
      <c r="A16" s="11" t="str">
        <f ca="1">IF(OR(B15="",B15&gt;='Faiz Hesaplanan'!$B$4),"",B15+1)</f>
        <v/>
      </c>
      <c r="B16" s="11" t="str">
        <f ca="1">IF(A16="","",MIN('Faiz Hesaplanan'!$B$4,INDEX('Kaynak Veri'!$F$2:$F$61,MATCH(A16,'Kaynak Veri'!$A$2:$A$61,1))))</f>
        <v/>
      </c>
      <c r="C16" s="12" t="str">
        <f ca="1">IF(OR(A16="",B16=""),"",B16-A16+1-IF(B16='Faiz Hesaplanan'!$B$4,1,0)-IF(AND(A16&lt;=60,B16&gt;=60),1,0))</f>
        <v/>
      </c>
      <c r="D16" s="28" t="str">
        <f ca="1">IF(A16="","",INDEX('Kaynak Veri'!$C$2:$C$61,MATCH(A16,'Kaynak Veri'!$A$2:$A$61,1)))</f>
        <v/>
      </c>
      <c r="E16" s="13" t="str">
        <f ca="1">IF(OR(C16="",D16=""),"",'Faiz Hesaplanan'!$B$2*D16/100*C16/365)</f>
        <v/>
      </c>
      <c r="F16" s="7"/>
    </row>
    <row r="17" spans="1:6">
      <c r="A17" s="11" t="str">
        <f ca="1">IF(OR(B16="",B16&gt;='Faiz Hesaplanan'!$B$4),"",B16+1)</f>
        <v/>
      </c>
      <c r="B17" s="11" t="str">
        <f ca="1">IF(A17="","",MIN('Faiz Hesaplanan'!$B$4,INDEX('Kaynak Veri'!$F$2:$F$61,MATCH(A17,'Kaynak Veri'!$A$2:$A$61,1))))</f>
        <v/>
      </c>
      <c r="C17" s="12" t="str">
        <f ca="1">IF(OR(A17="",B17=""),"",B17-A17+1-IF(B17='Faiz Hesaplanan'!$B$4,1,0)-IF(AND(A17&lt;=60,B17&gt;=60),1,0))</f>
        <v/>
      </c>
      <c r="D17" s="28" t="str">
        <f ca="1">IF(A17="","",INDEX('Kaynak Veri'!$C$2:$C$61,MATCH(A17,'Kaynak Veri'!$A$2:$A$61,1)))</f>
        <v/>
      </c>
      <c r="E17" s="13" t="str">
        <f ca="1">IF(OR(C17="",D17=""),"",'Faiz Hesaplanan'!$B$2*D17/100*C17/365)</f>
        <v/>
      </c>
      <c r="F17" s="7"/>
    </row>
    <row r="18" spans="1:6">
      <c r="A18" s="11" t="str">
        <f ca="1">IF(OR(B17="",B17&gt;='Faiz Hesaplanan'!$B$4),"",B17+1)</f>
        <v/>
      </c>
      <c r="B18" s="11" t="str">
        <f ca="1">IF(A18="","",MIN('Faiz Hesaplanan'!$B$4,INDEX('Kaynak Veri'!$F$2:$F$61,MATCH(A18,'Kaynak Veri'!$A$2:$A$61,1))))</f>
        <v/>
      </c>
      <c r="C18" s="12" t="str">
        <f ca="1">IF(OR(A18="",B18=""),"",B18-A18+1-IF(B18='Faiz Hesaplanan'!$B$4,1,0)-IF(AND(A18&lt;=60,B18&gt;=60),1,0))</f>
        <v/>
      </c>
      <c r="D18" s="28" t="str">
        <f ca="1">IF(A18="","",INDEX('Kaynak Veri'!$C$2:$C$61,MATCH(A18,'Kaynak Veri'!$A$2:$A$61,1)))</f>
        <v/>
      </c>
      <c r="E18" s="13" t="str">
        <f ca="1">IF(OR(C18="",D18=""),"",'Faiz Hesaplanan'!$B$2*D18/100*C18/365)</f>
        <v/>
      </c>
      <c r="F18" s="7"/>
    </row>
    <row r="19" spans="1:6">
      <c r="A19" s="11" t="str">
        <f ca="1">IF(OR(B18="",B18&gt;='Faiz Hesaplanan'!$B$4),"",B18+1)</f>
        <v/>
      </c>
      <c r="B19" s="11" t="str">
        <f ca="1">IF(A19="","",MIN('Faiz Hesaplanan'!$B$4,INDEX('Kaynak Veri'!$F$2:$F$61,MATCH(A19,'Kaynak Veri'!$A$2:$A$61,1))))</f>
        <v/>
      </c>
      <c r="C19" s="12" t="str">
        <f ca="1">IF(OR(A19="",B19=""),"",B19-A19+1-IF(B19='Faiz Hesaplanan'!$B$4,1,0)-IF(AND(A19&lt;=60,B19&gt;=60),1,0))</f>
        <v/>
      </c>
      <c r="D19" s="28" t="str">
        <f ca="1">IF(A19="","",INDEX('Kaynak Veri'!$C$2:$C$61,MATCH(A19,'Kaynak Veri'!$A$2:$A$61,1)))</f>
        <v/>
      </c>
      <c r="E19" s="13" t="str">
        <f ca="1">IF(OR(C19="",D19=""),"",'Faiz Hesaplanan'!$B$2*D19/100*C19/365)</f>
        <v/>
      </c>
      <c r="F19" s="7"/>
    </row>
    <row r="20" spans="1:6">
      <c r="A20" s="11" t="str">
        <f ca="1">IF(OR(B19="",B19&gt;='Faiz Hesaplanan'!$B$4),"",B19+1)</f>
        <v/>
      </c>
      <c r="B20" s="11" t="str">
        <f ca="1">IF(A20="","",MIN('Faiz Hesaplanan'!$B$4,INDEX('Kaynak Veri'!$F$2:$F$61,MATCH(A20,'Kaynak Veri'!$A$2:$A$61,1))))</f>
        <v/>
      </c>
      <c r="C20" s="12" t="str">
        <f ca="1">IF(OR(A20="",B20=""),"",B20-A20+1-IF(B20='Faiz Hesaplanan'!$B$4,1,0)-IF(AND(A20&lt;=60,B20&gt;=60),1,0))</f>
        <v/>
      </c>
      <c r="D20" s="28" t="str">
        <f ca="1">IF(A20="","",INDEX('Kaynak Veri'!$C$2:$C$61,MATCH(A20,'Kaynak Veri'!$A$2:$A$61,1)))</f>
        <v/>
      </c>
      <c r="E20" s="13" t="str">
        <f ca="1">IF(OR(C20="",D20=""),"",'Faiz Hesaplanan'!$B$2*D20/100*C20/365)</f>
        <v/>
      </c>
      <c r="F20" s="7"/>
    </row>
    <row r="21" spans="1:6">
      <c r="A21" s="11" t="str">
        <f ca="1">IF(OR(B20="",B20&gt;='Faiz Hesaplanan'!$B$4),"",B20+1)</f>
        <v/>
      </c>
      <c r="B21" s="11" t="str">
        <f ca="1">IF(A21="","",MIN('Faiz Hesaplanan'!$B$4,INDEX('Kaynak Veri'!$F$2:$F$61,MATCH(A21,'Kaynak Veri'!$A$2:$A$61,1))))</f>
        <v/>
      </c>
      <c r="C21" s="12" t="str">
        <f ca="1">IF(OR(A21="",B21=""),"",B21-A21+1-IF(B21='Faiz Hesaplanan'!$B$4,1,0)-IF(AND(A21&lt;=60,B21&gt;=60),1,0))</f>
        <v/>
      </c>
      <c r="D21" s="28" t="str">
        <f ca="1">IF(A21="","",INDEX('Kaynak Veri'!$C$2:$C$61,MATCH(A21,'Kaynak Veri'!$A$2:$A$61,1)))</f>
        <v/>
      </c>
      <c r="E21" s="13" t="str">
        <f ca="1">IF(OR(C21="",D21=""),"",'Faiz Hesaplanan'!$B$2*D21/100*C21/365)</f>
        <v/>
      </c>
      <c r="F21" s="7"/>
    </row>
    <row r="22" spans="1:6">
      <c r="A22" s="11" t="str">
        <f ca="1">IF(OR(B21="",B21&gt;='Faiz Hesaplanan'!$B$4),"",B21+1)</f>
        <v/>
      </c>
      <c r="B22" s="11" t="str">
        <f ca="1">IF(A22="","",MIN('Faiz Hesaplanan'!$B$4,INDEX('Kaynak Veri'!$F$2:$F$61,MATCH(A22,'Kaynak Veri'!$A$2:$A$61,1))))</f>
        <v/>
      </c>
      <c r="C22" s="12" t="str">
        <f ca="1">IF(OR(A22="",B22=""),"",B22-A22+1-IF(B22='Faiz Hesaplanan'!$B$4,1,0)-IF(AND(A22&lt;=60,B22&gt;=60),1,0))</f>
        <v/>
      </c>
      <c r="D22" s="28" t="str">
        <f ca="1">IF(A22="","",INDEX('Kaynak Veri'!$C$2:$C$61,MATCH(A22,'Kaynak Veri'!$A$2:$A$61,1)))</f>
        <v/>
      </c>
      <c r="E22" s="13" t="str">
        <f ca="1">IF(OR(C22="",D22=""),"",'Faiz Hesaplanan'!$B$2*D22/100*C22/365)</f>
        <v/>
      </c>
      <c r="F22" s="7"/>
    </row>
    <row r="23" spans="1:6">
      <c r="A23" s="11" t="str">
        <f ca="1">IF(OR(B22="",B22&gt;='Faiz Hesaplanan'!$B$4),"",B22+1)</f>
        <v/>
      </c>
      <c r="B23" s="11" t="str">
        <f ca="1">IF(A23="","",MIN('Faiz Hesaplanan'!$B$4,INDEX('Kaynak Veri'!$F$2:$F$61,MATCH(A23,'Kaynak Veri'!$A$2:$A$61,1))))</f>
        <v/>
      </c>
      <c r="C23" s="12" t="str">
        <f ca="1">IF(OR(A23="",B23=""),"",B23-A23+1-IF(B23='Faiz Hesaplanan'!$B$4,1,0)-IF(AND(A23&lt;=60,B23&gt;=60),1,0))</f>
        <v/>
      </c>
      <c r="D23" s="28" t="str">
        <f ca="1">IF(A23="","",INDEX('Kaynak Veri'!$C$2:$C$61,MATCH(A23,'Kaynak Veri'!$A$2:$A$61,1)))</f>
        <v/>
      </c>
      <c r="E23" s="13" t="str">
        <f ca="1">IF(OR(C23="",D23=""),"",'Faiz Hesaplanan'!$B$2*D23/100*C23/365)</f>
        <v/>
      </c>
      <c r="F23" s="7"/>
    </row>
    <row r="24" spans="1:6">
      <c r="A24" s="11" t="str">
        <f ca="1">IF(OR(B23="",B23&gt;='Faiz Hesaplanan'!$B$4),"",B23+1)</f>
        <v/>
      </c>
      <c r="B24" s="11" t="str">
        <f ca="1">IF(A24="","",MIN('Faiz Hesaplanan'!$B$4,INDEX('Kaynak Veri'!$F$2:$F$61,MATCH(A24,'Kaynak Veri'!$A$2:$A$61,1))))</f>
        <v/>
      </c>
      <c r="C24" s="12" t="str">
        <f ca="1">IF(OR(A24="",B24=""),"",B24-A24+1-IF(B24='Faiz Hesaplanan'!$B$4,1,0)-IF(AND(A24&lt;=60,B24&gt;=60),1,0))</f>
        <v/>
      </c>
      <c r="D24" s="28" t="str">
        <f ca="1">IF(A24="","",INDEX('Kaynak Veri'!$C$2:$C$61,MATCH(A24,'Kaynak Veri'!$A$2:$A$61,1)))</f>
        <v/>
      </c>
      <c r="E24" s="13" t="str">
        <f ca="1">IF(OR(C24="",D24=""),"",'Faiz Hesaplanan'!$B$2*D24/100*C24/365)</f>
        <v/>
      </c>
      <c r="F24" s="7"/>
    </row>
    <row r="25" spans="1:6">
      <c r="A25" s="11" t="str">
        <f ca="1">IF(OR(B24="",B24&gt;='Faiz Hesaplanan'!$B$4),"",B24+1)</f>
        <v/>
      </c>
      <c r="B25" s="11" t="str">
        <f ca="1">IF(A25="","",MIN('Faiz Hesaplanan'!$B$4,INDEX('Kaynak Veri'!$F$2:$F$61,MATCH(A25,'Kaynak Veri'!$A$2:$A$61,1))))</f>
        <v/>
      </c>
      <c r="C25" s="12" t="str">
        <f ca="1">IF(OR(A25="",B25=""),"",B25-A25+1-IF(B25='Faiz Hesaplanan'!$B$4,1,0)-IF(AND(A25&lt;=60,B25&gt;=60),1,0))</f>
        <v/>
      </c>
      <c r="D25" s="28" t="str">
        <f ca="1">IF(A25="","",INDEX('Kaynak Veri'!$C$2:$C$61,MATCH(A25,'Kaynak Veri'!$A$2:$A$61,1)))</f>
        <v/>
      </c>
      <c r="E25" s="13" t="str">
        <f ca="1">IF(OR(C25="",D25=""),"",'Faiz Hesaplanan'!$B$2*D25/100*C25/365)</f>
        <v/>
      </c>
      <c r="F25" s="7"/>
    </row>
    <row r="26" spans="1:6">
      <c r="A26" s="11" t="str">
        <f ca="1">IF(OR(B25="",B25&gt;='Faiz Hesaplanan'!$B$4),"",B25+1)</f>
        <v/>
      </c>
      <c r="B26" s="11" t="str">
        <f ca="1">IF(A26="","",MIN('Faiz Hesaplanan'!$B$4,INDEX('Kaynak Veri'!$F$2:$F$61,MATCH(A26,'Kaynak Veri'!$A$2:$A$61,1))))</f>
        <v/>
      </c>
      <c r="C26" s="12" t="str">
        <f ca="1">IF(OR(A26="",B26=""),"",B26-A26+1-IF(B26='Faiz Hesaplanan'!$B$4,1,0)-IF(AND(A26&lt;=60,B26&gt;=60),1,0))</f>
        <v/>
      </c>
      <c r="D26" s="28" t="str">
        <f ca="1">IF(A26="","",INDEX('Kaynak Veri'!$C$2:$C$61,MATCH(A26,'Kaynak Veri'!$A$2:$A$61,1)))</f>
        <v/>
      </c>
      <c r="E26" s="13" t="str">
        <f ca="1">IF(OR(C26="",D26=""),"",'Faiz Hesaplanan'!$B$2*D26/100*C26/365)</f>
        <v/>
      </c>
      <c r="F26" s="7"/>
    </row>
    <row r="27" spans="1:6">
      <c r="A27" s="11" t="str">
        <f ca="1">IF(OR(B26="",B26&gt;='Faiz Hesaplanan'!$B$4),"",B26+1)</f>
        <v/>
      </c>
      <c r="B27" s="11" t="str">
        <f ca="1">IF(A27="","",MIN('Faiz Hesaplanan'!$B$4,INDEX('Kaynak Veri'!$F$2:$F$61,MATCH(A27,'Kaynak Veri'!$A$2:$A$61,1))))</f>
        <v/>
      </c>
      <c r="C27" s="12" t="str">
        <f ca="1">IF(OR(A27="",B27=""),"",B27-A27+1-IF(B27='Faiz Hesaplanan'!$B$4,1,0)-IF(AND(A27&lt;=60,B27&gt;=60),1,0))</f>
        <v/>
      </c>
      <c r="D27" s="28" t="str">
        <f ca="1">IF(A27="","",INDEX('Kaynak Veri'!$C$2:$C$61,MATCH(A27,'Kaynak Veri'!$A$2:$A$61,1)))</f>
        <v/>
      </c>
      <c r="E27" s="13" t="str">
        <f ca="1">IF(OR(C27="",D27=""),"",'Faiz Hesaplanan'!$B$2*D27/100*C27/365)</f>
        <v/>
      </c>
      <c r="F27" s="7"/>
    </row>
    <row r="28" spans="1:6">
      <c r="A28" s="11" t="str">
        <f ca="1">IF(OR(B27="",B27&gt;='Faiz Hesaplanan'!$B$4),"",B27+1)</f>
        <v/>
      </c>
      <c r="B28" s="11" t="str">
        <f ca="1">IF(A28="","",MIN('Faiz Hesaplanan'!$B$4,INDEX('Kaynak Veri'!$F$2:$F$61,MATCH(A28,'Kaynak Veri'!$A$2:$A$61,1))))</f>
        <v/>
      </c>
      <c r="C28" s="12" t="str">
        <f ca="1">IF(OR(A28="",B28=""),"",B28-A28+1-IF(B28='Faiz Hesaplanan'!$B$4,1,0)-IF(AND(A28&lt;=60,B28&gt;=60),1,0))</f>
        <v/>
      </c>
      <c r="D28" s="28" t="str">
        <f ca="1">IF(A28="","",INDEX('Kaynak Veri'!$C$2:$C$61,MATCH(A28,'Kaynak Veri'!$A$2:$A$61,1)))</f>
        <v/>
      </c>
      <c r="E28" s="13" t="str">
        <f ca="1">IF(OR(C28="",D28=""),"",'Faiz Hesaplanan'!$B$2*D28/100*C28/365)</f>
        <v/>
      </c>
      <c r="F28" s="7"/>
    </row>
    <row r="29" spans="1:6">
      <c r="A29" s="11" t="str">
        <f ca="1">IF(OR(B28="",B28&gt;='Faiz Hesaplanan'!$B$4),"",B28+1)</f>
        <v/>
      </c>
      <c r="B29" s="11" t="str">
        <f ca="1">IF(A29="","",MIN('Faiz Hesaplanan'!$B$4,INDEX('Kaynak Veri'!$F$2:$F$61,MATCH(A29,'Kaynak Veri'!$A$2:$A$61,1))))</f>
        <v/>
      </c>
      <c r="C29" s="12" t="str">
        <f ca="1">IF(OR(A29="",B29=""),"",B29-A29+1-IF(B29='Faiz Hesaplanan'!$B$4,1,0)-IF(AND(A29&lt;=60,B29&gt;=60),1,0))</f>
        <v/>
      </c>
      <c r="D29" s="28" t="str">
        <f ca="1">IF(A29="","",INDEX('Kaynak Veri'!$C$2:$C$61,MATCH(A29,'Kaynak Veri'!$A$2:$A$61,1)))</f>
        <v/>
      </c>
      <c r="E29" s="13" t="str">
        <f ca="1">IF(OR(C29="",D29=""),"",'Faiz Hesaplanan'!$B$2*D29/100*C29/365)</f>
        <v/>
      </c>
      <c r="F29" s="7"/>
    </row>
    <row r="30" spans="1:6">
      <c r="A30" s="11" t="str">
        <f ca="1">IF(OR(B29="",B29&gt;='Faiz Hesaplanan'!$B$4),"",B29+1)</f>
        <v/>
      </c>
      <c r="B30" s="11" t="str">
        <f ca="1">IF(A30="","",MIN('Faiz Hesaplanan'!$B$4,INDEX('Kaynak Veri'!$F$2:$F$61,MATCH(A30,'Kaynak Veri'!$A$2:$A$61,1))))</f>
        <v/>
      </c>
      <c r="C30" s="12" t="str">
        <f ca="1">IF(OR(A30="",B30=""),"",B30-A30+1-IF(B30='Faiz Hesaplanan'!$B$4,1,0)-IF(AND(A30&lt;=60,B30&gt;=60),1,0))</f>
        <v/>
      </c>
      <c r="D30" s="28" t="str">
        <f ca="1">IF(A30="","",INDEX('Kaynak Veri'!$C$2:$C$61,MATCH(A30,'Kaynak Veri'!$A$2:$A$61,1)))</f>
        <v/>
      </c>
      <c r="E30" s="13" t="str">
        <f ca="1">IF(OR(C30="",D30=""),"",'Faiz Hesaplanan'!$B$2*D30/100*C30/365)</f>
        <v/>
      </c>
      <c r="F30" s="7"/>
    </row>
    <row r="31" spans="1:6">
      <c r="A31" s="11" t="str">
        <f ca="1">IF(OR(B30="",B30&gt;='Faiz Hesaplanan'!$B$4),"",B30+1)</f>
        <v/>
      </c>
      <c r="B31" s="11" t="str">
        <f ca="1">IF(A31="","",MIN('Faiz Hesaplanan'!$B$4,INDEX('Kaynak Veri'!$F$2:$F$61,MATCH(A31,'Kaynak Veri'!$A$2:$A$61,1))))</f>
        <v/>
      </c>
      <c r="C31" s="12" t="str">
        <f ca="1">IF(OR(A31="",B31=""),"",B31-A31+1-IF(B31='Faiz Hesaplanan'!$B$4,1,0)-IF(AND(A31&lt;=60,B31&gt;=60),1,0))</f>
        <v/>
      </c>
      <c r="D31" s="28" t="str">
        <f ca="1">IF(A31="","",INDEX('Kaynak Veri'!$C$2:$C$61,MATCH(A31,'Kaynak Veri'!$A$2:$A$61,1)))</f>
        <v/>
      </c>
      <c r="E31" s="13" t="str">
        <f ca="1">IF(OR(C31="",D31=""),"",'Faiz Hesaplanan'!$B$2*D31/100*C31/365)</f>
        <v/>
      </c>
      <c r="F31" s="7"/>
    </row>
    <row r="32" spans="1:6">
      <c r="A32" s="11" t="str">
        <f ca="1">IF(OR(B31="",B31&gt;='Faiz Hesaplanan'!$B$4),"",B31+1)</f>
        <v/>
      </c>
      <c r="B32" s="11" t="str">
        <f ca="1">IF(A32="","",MIN('Faiz Hesaplanan'!$B$4,INDEX('Kaynak Veri'!$F$2:$F$61,MATCH(A32,'Kaynak Veri'!$A$2:$A$61,1))))</f>
        <v/>
      </c>
      <c r="C32" s="12" t="str">
        <f ca="1">IF(OR(A32="",B32=""),"",B32-A32+1-IF(B32='Faiz Hesaplanan'!$B$4,1,0)-IF(AND(A32&lt;=60,B32&gt;=60),1,0))</f>
        <v/>
      </c>
      <c r="D32" s="28" t="str">
        <f ca="1">IF(A32="","",INDEX('Kaynak Veri'!$C$2:$C$61,MATCH(A32,'Kaynak Veri'!$A$2:$A$61,1)))</f>
        <v/>
      </c>
      <c r="E32" s="13" t="str">
        <f ca="1">IF(OR(C32="",D32=""),"",'Faiz Hesaplanan'!$B$2*D32/100*C32/365)</f>
        <v/>
      </c>
      <c r="F32" s="7"/>
    </row>
    <row r="33" spans="1:6">
      <c r="A33" s="11" t="str">
        <f ca="1">IF(OR(B32="",B32&gt;='Faiz Hesaplanan'!$B$4),"",B32+1)</f>
        <v/>
      </c>
      <c r="B33" s="11" t="str">
        <f ca="1">IF(A33="","",MIN('Faiz Hesaplanan'!$B$4,INDEX('Kaynak Veri'!$F$2:$F$61,MATCH(A33,'Kaynak Veri'!$A$2:$A$61,1))))</f>
        <v/>
      </c>
      <c r="C33" s="12" t="str">
        <f ca="1">IF(OR(A33="",B33=""),"",B33-A33+1-IF(B33='Faiz Hesaplanan'!$B$4,1,0)-IF(AND(A33&lt;=60,B33&gt;=60),1,0))</f>
        <v/>
      </c>
      <c r="D33" s="28" t="str">
        <f ca="1">IF(A33="","",INDEX('Kaynak Veri'!$C$2:$C$61,MATCH(A33,'Kaynak Veri'!$A$2:$A$61,1)))</f>
        <v/>
      </c>
      <c r="E33" s="13" t="str">
        <f ca="1">IF(OR(C33="",D33=""),"",'Faiz Hesaplanan'!$B$2*D33/100*C33/365)</f>
        <v/>
      </c>
      <c r="F33" s="7"/>
    </row>
    <row r="34" spans="1:6">
      <c r="A34" s="11" t="str">
        <f ca="1">IF(OR(B33="",B33&gt;='Faiz Hesaplanan'!$B$4),"",B33+1)</f>
        <v/>
      </c>
      <c r="B34" s="11" t="str">
        <f ca="1">IF(A34="","",MIN('Faiz Hesaplanan'!$B$4,INDEX('Kaynak Veri'!$F$2:$F$61,MATCH(A34,'Kaynak Veri'!$A$2:$A$61,1))))</f>
        <v/>
      </c>
      <c r="C34" s="12" t="str">
        <f ca="1">IF(OR(A34="",B34=""),"",B34-A34+1-IF(B34='Faiz Hesaplanan'!$B$4,1,0)-IF(AND(A34&lt;=60,B34&gt;=60),1,0))</f>
        <v/>
      </c>
      <c r="D34" s="28" t="str">
        <f ca="1">IF(A34="","",INDEX('Kaynak Veri'!$C$2:$C$61,MATCH(A34,'Kaynak Veri'!$A$2:$A$61,1)))</f>
        <v/>
      </c>
      <c r="E34" s="13" t="str">
        <f ca="1">IF(OR(C34="",D34=""),"",'Faiz Hesaplanan'!$B$2*D34/100*C34/365)</f>
        <v/>
      </c>
      <c r="F34" s="7"/>
    </row>
    <row r="35" spans="1:6">
      <c r="A35" s="11" t="str">
        <f ca="1">IF(OR(B34="",B34&gt;='Faiz Hesaplanan'!$B$4),"",B34+1)</f>
        <v/>
      </c>
      <c r="B35" s="11" t="str">
        <f ca="1">IF(A35="","",MIN('Faiz Hesaplanan'!$B$4,INDEX('Kaynak Veri'!$F$2:$F$61,MATCH(A35,'Kaynak Veri'!$A$2:$A$61,1))))</f>
        <v/>
      </c>
      <c r="C35" s="12" t="str">
        <f ca="1">IF(OR(A35="",B35=""),"",B35-A35+1-IF(B35='Faiz Hesaplanan'!$B$4,1,0)-IF(AND(A35&lt;=60,B35&gt;=60),1,0))</f>
        <v/>
      </c>
      <c r="D35" s="28" t="str">
        <f ca="1">IF(A35="","",INDEX('Kaynak Veri'!$C$2:$C$61,MATCH(A35,'Kaynak Veri'!$A$2:$A$61,1)))</f>
        <v/>
      </c>
      <c r="E35" s="13" t="str">
        <f ca="1">IF(OR(C35="",D35=""),"",'Faiz Hesaplanan'!$B$2*D35/100*C35/365)</f>
        <v/>
      </c>
      <c r="F35" s="7"/>
    </row>
    <row r="36" spans="1:6">
      <c r="A36" s="11" t="str">
        <f ca="1">IF(OR(B35="",B35&gt;='Faiz Hesaplanan'!$B$4),"",B35+1)</f>
        <v/>
      </c>
      <c r="B36" s="11" t="str">
        <f ca="1">IF(A36="","",MIN('Faiz Hesaplanan'!$B$4,INDEX('Kaynak Veri'!$F$2:$F$61,MATCH(A36,'Kaynak Veri'!$A$2:$A$61,1))))</f>
        <v/>
      </c>
      <c r="C36" s="12" t="str">
        <f ca="1">IF(OR(A36="",B36=""),"",B36-A36+1-IF(B36='Faiz Hesaplanan'!$B$4,1,0)-IF(AND(A36&lt;=60,B36&gt;=60),1,0))</f>
        <v/>
      </c>
      <c r="D36" s="28" t="str">
        <f ca="1">IF(A36="","",INDEX('Kaynak Veri'!$C$2:$C$61,MATCH(A36,'Kaynak Veri'!$A$2:$A$61,1)))</f>
        <v/>
      </c>
      <c r="E36" s="13" t="str">
        <f ca="1">IF(OR(C36="",D36=""),"",'Faiz Hesaplanan'!$B$2*D36/100*C36/365)</f>
        <v/>
      </c>
      <c r="F36" s="7"/>
    </row>
    <row r="37" spans="1:6">
      <c r="A37" s="11" t="str">
        <f ca="1">IF(OR(B36="",B36&gt;='Faiz Hesaplanan'!$B$4),"",B36+1)</f>
        <v/>
      </c>
      <c r="B37" s="11" t="str">
        <f ca="1">IF(A37="","",MIN('Faiz Hesaplanan'!$B$4,INDEX('Kaynak Veri'!$F$2:$F$61,MATCH(A37,'Kaynak Veri'!$A$2:$A$61,1))))</f>
        <v/>
      </c>
      <c r="C37" s="12" t="str">
        <f ca="1">IF(OR(A37="",B37=""),"",B37-A37+1-IF(B37='Faiz Hesaplanan'!$B$4,1,0)-IF(AND(A37&lt;=60,B37&gt;=60),1,0))</f>
        <v/>
      </c>
      <c r="D37" s="28" t="str">
        <f ca="1">IF(A37="","",INDEX('Kaynak Veri'!$C$2:$C$61,MATCH(A37,'Kaynak Veri'!$A$2:$A$61,1)))</f>
        <v/>
      </c>
      <c r="E37" s="13" t="str">
        <f ca="1">IF(OR(C37="",D37=""),"",'Faiz Hesaplanan'!$B$2*D37/100*C37/365)</f>
        <v/>
      </c>
      <c r="F37" s="7"/>
    </row>
    <row r="38" spans="1:6">
      <c r="A38" s="11" t="str">
        <f ca="1">IF(OR(B37="",B37&gt;='Faiz Hesaplanan'!$B$4),"",B37+1)</f>
        <v/>
      </c>
      <c r="B38" s="11" t="str">
        <f ca="1">IF(A38="","",MIN('Faiz Hesaplanan'!$B$4,INDEX('Kaynak Veri'!$F$2:$F$61,MATCH(A38,'Kaynak Veri'!$A$2:$A$61,1))))</f>
        <v/>
      </c>
      <c r="C38" s="12" t="str">
        <f ca="1">IF(OR(A38="",B38=""),"",B38-A38+1-IF(B38='Faiz Hesaplanan'!$B$4,1,0)-IF(AND(A38&lt;=60,B38&gt;=60),1,0))</f>
        <v/>
      </c>
      <c r="D38" s="28" t="str">
        <f ca="1">IF(A38="","",INDEX('Kaynak Veri'!$C$2:$C$61,MATCH(A38,'Kaynak Veri'!$A$2:$A$61,1)))</f>
        <v/>
      </c>
      <c r="E38" s="13" t="str">
        <f ca="1">IF(OR(C38="",D38=""),"",'Faiz Hesaplanan'!$B$2*D38/100*C38/365)</f>
        <v/>
      </c>
      <c r="F38" s="7"/>
    </row>
    <row r="39" spans="1:6">
      <c r="A39" s="11" t="str">
        <f ca="1">IF(OR(B38="",B38&gt;='Faiz Hesaplanan'!$B$4),"",B38+1)</f>
        <v/>
      </c>
      <c r="B39" s="11" t="str">
        <f ca="1">IF(A39="","",MIN('Faiz Hesaplanan'!$B$4,INDEX('Kaynak Veri'!$F$2:$F$61,MATCH(A39,'Kaynak Veri'!$A$2:$A$61,1))))</f>
        <v/>
      </c>
      <c r="C39" s="12" t="str">
        <f ca="1">IF(OR(A39="",B39=""),"",B39-A39+1-IF(B39='Faiz Hesaplanan'!$B$4,1,0)-IF(AND(A39&lt;=60,B39&gt;=60),1,0))</f>
        <v/>
      </c>
      <c r="D39" s="28" t="str">
        <f ca="1">IF(A39="","",INDEX('Kaynak Veri'!$C$2:$C$61,MATCH(A39,'Kaynak Veri'!$A$2:$A$61,1)))</f>
        <v/>
      </c>
      <c r="E39" s="13" t="str">
        <f ca="1">IF(OR(C39="",D39=""),"",'Faiz Hesaplanan'!$B$2*D39/100*C39/365)</f>
        <v/>
      </c>
      <c r="F39" s="7"/>
    </row>
    <row r="40" spans="1:6">
      <c r="A40" s="11" t="str">
        <f ca="1">IF(OR(B39="",B39&gt;='Faiz Hesaplanan'!$B$4),"",B39+1)</f>
        <v/>
      </c>
      <c r="B40" s="11" t="str">
        <f ca="1">IF(A40="","",MIN('Faiz Hesaplanan'!$B$4,INDEX('Kaynak Veri'!$F$2:$F$61,MATCH(A40,'Kaynak Veri'!$A$2:$A$61,1))))</f>
        <v/>
      </c>
      <c r="C40" s="12" t="str">
        <f ca="1">IF(OR(A40="",B40=""),"",B40-A40+1-IF(B40='Faiz Hesaplanan'!$B$4,1,0)-IF(AND(A40&lt;=60,B40&gt;=60),1,0))</f>
        <v/>
      </c>
      <c r="D40" s="28" t="str">
        <f ca="1">IF(A40="","",INDEX('Kaynak Veri'!$C$2:$C$61,MATCH(A40,'Kaynak Veri'!$A$2:$A$61,1)))</f>
        <v/>
      </c>
      <c r="E40" s="13" t="str">
        <f ca="1">IF(OR(C40="",D40=""),"",'Faiz Hesaplanan'!$B$2*D40/100*C40/365)</f>
        <v/>
      </c>
      <c r="F40" s="7"/>
    </row>
    <row r="41" spans="1:6">
      <c r="A41" s="11" t="str">
        <f ca="1">IF(OR(B40="",B40&gt;='Faiz Hesaplanan'!$B$4),"",B40+1)</f>
        <v/>
      </c>
      <c r="B41" s="11" t="str">
        <f ca="1">IF(A41="","",MIN('Faiz Hesaplanan'!$B$4,INDEX('Kaynak Veri'!$F$2:$F$61,MATCH(A41,'Kaynak Veri'!$A$2:$A$61,1))))</f>
        <v/>
      </c>
      <c r="C41" s="12" t="str">
        <f ca="1">IF(OR(A41="",B41=""),"",B41-A41+1-IF(B41='Faiz Hesaplanan'!$B$4,1,0)-IF(AND(A41&lt;=60,B41&gt;=60),1,0))</f>
        <v/>
      </c>
      <c r="D41" s="28" t="str">
        <f ca="1">IF(A41="","",INDEX('Kaynak Veri'!$C$2:$C$61,MATCH(A41,'Kaynak Veri'!$A$2:$A$61,1)))</f>
        <v/>
      </c>
      <c r="E41" s="13" t="str">
        <f ca="1">IF(OR(C41="",D41=""),"",'Faiz Hesaplanan'!$B$2*D41/100*C41/365)</f>
        <v/>
      </c>
      <c r="F41" s="7"/>
    </row>
    <row r="42" spans="1:6">
      <c r="A42" s="11" t="str">
        <f ca="1">IF(OR(B41="",B41&gt;='Faiz Hesaplanan'!$B$4),"",B41+1)</f>
        <v/>
      </c>
      <c r="B42" s="11" t="str">
        <f ca="1">IF(A42="","",MIN('Faiz Hesaplanan'!$B$4,INDEX('Kaynak Veri'!$F$2:$F$61,MATCH(A42,'Kaynak Veri'!$A$2:$A$61,1))))</f>
        <v/>
      </c>
      <c r="C42" s="12" t="str">
        <f ca="1">IF(OR(A42="",B42=""),"",B42-A42+1-IF(B42='Faiz Hesaplanan'!$B$4,1,0)-IF(AND(A42&lt;=60,B42&gt;=60),1,0))</f>
        <v/>
      </c>
      <c r="D42" s="28" t="str">
        <f ca="1">IF(A42="","",INDEX('Kaynak Veri'!$C$2:$C$61,MATCH(A42,'Kaynak Veri'!$A$2:$A$61,1)))</f>
        <v/>
      </c>
      <c r="E42" s="13" t="str">
        <f ca="1">IF(OR(C42="",D42=""),"",'Faiz Hesaplanan'!$B$2*D42/100*C42/365)</f>
        <v/>
      </c>
      <c r="F42" s="7"/>
    </row>
    <row r="43" spans="1:6">
      <c r="A43" s="11" t="str">
        <f ca="1">IF(OR(B42="",B42&gt;='Faiz Hesaplanan'!$B$4),"",B42+1)</f>
        <v/>
      </c>
      <c r="B43" s="11" t="str">
        <f ca="1">IF(A43="","",MIN('Faiz Hesaplanan'!$B$4,INDEX('Kaynak Veri'!$F$2:$F$61,MATCH(A43,'Kaynak Veri'!$A$2:$A$61,1))))</f>
        <v/>
      </c>
      <c r="C43" s="12" t="str">
        <f ca="1">IF(OR(A43="",B43=""),"",B43-A43+1-IF(B43='Faiz Hesaplanan'!$B$4,1,0)-IF(AND(A43&lt;=60,B43&gt;=60),1,0))</f>
        <v/>
      </c>
      <c r="D43" s="28" t="str">
        <f ca="1">IF(A43="","",INDEX('Kaynak Veri'!$C$2:$C$61,MATCH(A43,'Kaynak Veri'!$A$2:$A$61,1)))</f>
        <v/>
      </c>
      <c r="E43" s="13" t="str">
        <f ca="1">IF(OR(C43="",D43=""),"",'Faiz Hesaplanan'!$B$2*D43/100*C43/365)</f>
        <v/>
      </c>
      <c r="F43" s="7"/>
    </row>
    <row r="44" spans="1:6">
      <c r="A44" s="11" t="str">
        <f ca="1">IF(OR(B43="",B43&gt;='Faiz Hesaplanan'!$B$4),"",B43+1)</f>
        <v/>
      </c>
      <c r="B44" s="11" t="str">
        <f ca="1">IF(A44="","",MIN('Faiz Hesaplanan'!$B$4,INDEX('Kaynak Veri'!$F$2:$F$61,MATCH(A44,'Kaynak Veri'!$A$2:$A$61,1))))</f>
        <v/>
      </c>
      <c r="C44" s="12" t="str">
        <f ca="1">IF(OR(A44="",B44=""),"",B44-A44+1-IF(B44='Faiz Hesaplanan'!$B$4,1,0)-IF(AND(A44&lt;=60,B44&gt;=60),1,0))</f>
        <v/>
      </c>
      <c r="D44" s="28" t="str">
        <f ca="1">IF(A44="","",INDEX('Kaynak Veri'!$C$2:$C$61,MATCH(A44,'Kaynak Veri'!$A$2:$A$61,1)))</f>
        <v/>
      </c>
      <c r="E44" s="13" t="str">
        <f ca="1">IF(OR(C44="",D44=""),"",'Faiz Hesaplanan'!$B$2*D44/100*C44/365)</f>
        <v/>
      </c>
      <c r="F44" s="7"/>
    </row>
    <row r="45" spans="1:6">
      <c r="A45" s="11" t="str">
        <f ca="1">IF(OR(B44="",B44&gt;='Faiz Hesaplanan'!$B$4),"",B44+1)</f>
        <v/>
      </c>
      <c r="B45" s="11" t="str">
        <f ca="1">IF(A45="","",MIN('Faiz Hesaplanan'!$B$4,INDEX('Kaynak Veri'!$F$2:$F$61,MATCH(A45,'Kaynak Veri'!$A$2:$A$61,1))))</f>
        <v/>
      </c>
      <c r="C45" s="12" t="str">
        <f ca="1">IF(OR(A45="",B45=""),"",B45-A45+1-IF(B45='Faiz Hesaplanan'!$B$4,1,0)-IF(AND(A45&lt;=60,B45&gt;=60),1,0))</f>
        <v/>
      </c>
      <c r="D45" s="28" t="str">
        <f ca="1">IF(A45="","",INDEX('Kaynak Veri'!$C$2:$C$61,MATCH(A45,'Kaynak Veri'!$A$2:$A$61,1)))</f>
        <v/>
      </c>
      <c r="E45" s="13" t="str">
        <f ca="1">IF(OR(C45="",D45=""),"",'Faiz Hesaplanan'!$B$2*D45/100*C45/365)</f>
        <v/>
      </c>
      <c r="F45" s="7"/>
    </row>
    <row r="46" spans="1:6">
      <c r="A46" s="11" t="str">
        <f ca="1">IF(OR(B45="",B45&gt;='Faiz Hesaplanan'!$B$4),"",B45+1)</f>
        <v/>
      </c>
      <c r="B46" s="11" t="str">
        <f ca="1">IF(A46="","",MIN('Faiz Hesaplanan'!$B$4,INDEX('Kaynak Veri'!$F$2:$F$61,MATCH(A46,'Kaynak Veri'!$A$2:$A$61,1))))</f>
        <v/>
      </c>
      <c r="C46" s="12" t="str">
        <f ca="1">IF(OR(A46="",B46=""),"",B46-A46+1-IF(B46='Faiz Hesaplanan'!$B$4,1,0)-IF(AND(A46&lt;=60,B46&gt;=60),1,0))</f>
        <v/>
      </c>
      <c r="D46" s="28" t="str">
        <f ca="1">IF(A46="","",INDEX('Kaynak Veri'!$C$2:$C$61,MATCH(A46,'Kaynak Veri'!$A$2:$A$61,1)))</f>
        <v/>
      </c>
      <c r="E46" s="13" t="str">
        <f ca="1">IF(OR(C46="",D46=""),"",'Faiz Hesaplanan'!$B$2*D46/100*C46/365)</f>
        <v/>
      </c>
      <c r="F46" s="7"/>
    </row>
    <row r="47" spans="1:6">
      <c r="A47" s="11" t="str">
        <f ca="1">IF(OR(B46="",B46&gt;='Faiz Hesaplanan'!$B$4),"",B46+1)</f>
        <v/>
      </c>
      <c r="B47" s="11" t="str">
        <f ca="1">IF(A47="","",MIN('Faiz Hesaplanan'!$B$4,INDEX('Kaynak Veri'!$F$2:$F$61,MATCH(A47,'Kaynak Veri'!$A$2:$A$61,1))))</f>
        <v/>
      </c>
      <c r="C47" s="12" t="str">
        <f ca="1">IF(OR(A47="",B47=""),"",B47-A47+1-IF(B47='Faiz Hesaplanan'!$B$4,1,0)-IF(AND(A47&lt;=60,B47&gt;=60),1,0))</f>
        <v/>
      </c>
      <c r="D47" s="28" t="str">
        <f ca="1">IF(A47="","",INDEX('Kaynak Veri'!$C$2:$C$61,MATCH(A47,'Kaynak Veri'!$A$2:$A$61,1)))</f>
        <v/>
      </c>
      <c r="E47" s="13" t="str">
        <f ca="1">IF(OR(C47="",D47=""),"",'Faiz Hesaplanan'!$B$2*D47/100*C47/365)</f>
        <v/>
      </c>
      <c r="F47" s="7"/>
    </row>
    <row r="48" spans="1:6">
      <c r="A48" s="11" t="str">
        <f ca="1">IF(OR(B47="",B47&gt;='Faiz Hesaplanan'!$B$4),"",B47+1)</f>
        <v/>
      </c>
      <c r="B48" s="11" t="str">
        <f ca="1">IF(A48="","",MIN('Faiz Hesaplanan'!$B$4,INDEX('Kaynak Veri'!$F$2:$F$61,MATCH(A48,'Kaynak Veri'!$A$2:$A$61,1))))</f>
        <v/>
      </c>
      <c r="C48" s="12" t="str">
        <f ca="1">IF(OR(A48="",B48=""),"",B48-A48+1-IF(B48='Faiz Hesaplanan'!$B$4,1,0)-IF(AND(A48&lt;=60,B48&gt;=60),1,0))</f>
        <v/>
      </c>
      <c r="D48" s="28" t="str">
        <f ca="1">IF(A48="","",INDEX('Kaynak Veri'!$C$2:$C$61,MATCH(A48,'Kaynak Veri'!$A$2:$A$61,1)))</f>
        <v/>
      </c>
      <c r="E48" s="13" t="str">
        <f ca="1">IF(OR(C48="",D48=""),"",'Faiz Hesaplanan'!$B$2*D48/100*C48/365)</f>
        <v/>
      </c>
      <c r="F48" s="7"/>
    </row>
    <row r="49" spans="1:6">
      <c r="A49" s="11" t="str">
        <f ca="1">IF(OR(B48="",B48&gt;='Faiz Hesaplanan'!$B$4),"",B48+1)</f>
        <v/>
      </c>
      <c r="B49" s="11" t="str">
        <f ca="1">IF(A49="","",MIN('Faiz Hesaplanan'!$B$4,INDEX('Kaynak Veri'!$F$2:$F$61,MATCH(A49,'Kaynak Veri'!$A$2:$A$61,1))))</f>
        <v/>
      </c>
      <c r="C49" s="12" t="str">
        <f ca="1">IF(OR(A49="",B49=""),"",B49-A49+1-IF(B49='Faiz Hesaplanan'!$B$4,1,0)-IF(AND(A49&lt;=60,B49&gt;=60),1,0))</f>
        <v/>
      </c>
      <c r="D49" s="28" t="str">
        <f ca="1">IF(A49="","",INDEX('Kaynak Veri'!$C$2:$C$61,MATCH(A49,'Kaynak Veri'!$A$2:$A$61,1)))</f>
        <v/>
      </c>
      <c r="E49" s="13" t="str">
        <f ca="1">IF(OR(C49="",D49=""),"",'Faiz Hesaplanan'!$B$2*D49/100*C49/365)</f>
        <v/>
      </c>
      <c r="F49" s="7"/>
    </row>
    <row r="50" spans="1:6">
      <c r="A50" s="11" t="str">
        <f ca="1">IF(OR(B49="",B49&gt;='Faiz Hesaplanan'!$B$4),"",B49+1)</f>
        <v/>
      </c>
      <c r="B50" s="11" t="str">
        <f ca="1">IF(A50="","",MIN('Faiz Hesaplanan'!$B$4,INDEX('Kaynak Veri'!$F$2:$F$61,MATCH(A50,'Kaynak Veri'!$A$2:$A$61,1))))</f>
        <v/>
      </c>
      <c r="C50" s="12" t="str">
        <f ca="1">IF(OR(A50="",B50=""),"",B50-A50+1-IF(B50='Faiz Hesaplanan'!$B$4,1,0)-IF(AND(A50&lt;=60,B50&gt;=60),1,0))</f>
        <v/>
      </c>
      <c r="D50" s="28" t="str">
        <f ca="1">IF(A50="","",INDEX('Kaynak Veri'!$C$2:$C$61,MATCH(A50,'Kaynak Veri'!$A$2:$A$61,1)))</f>
        <v/>
      </c>
      <c r="E50" s="13" t="str">
        <f ca="1">IF(OR(C50="",D50=""),"",'Faiz Hesaplanan'!$B$2*D50/100*C50/365)</f>
        <v/>
      </c>
      <c r="F50" s="7"/>
    </row>
    <row r="51" spans="1:6">
      <c r="A51" s="11" t="str">
        <f ca="1">IF(OR(B50="",B50&gt;='Faiz Hesaplanan'!$B$4),"",B50+1)</f>
        <v/>
      </c>
      <c r="B51" s="11" t="str">
        <f ca="1">IF(A51="","",MIN('Faiz Hesaplanan'!$B$4,INDEX('Kaynak Veri'!$F$2:$F$61,MATCH(A51,'Kaynak Veri'!$A$2:$A$61,1))))</f>
        <v/>
      </c>
      <c r="C51" s="12" t="str">
        <f ca="1">IF(OR(A51="",B51=""),"",B51-A51+1-IF(B51='Faiz Hesaplanan'!$B$4,1,0)-IF(AND(A51&lt;=60,B51&gt;=60),1,0))</f>
        <v/>
      </c>
      <c r="D51" s="28" t="str">
        <f ca="1">IF(A51="","",INDEX('Kaynak Veri'!$C$2:$C$61,MATCH(A51,'Kaynak Veri'!$A$2:$A$61,1)))</f>
        <v/>
      </c>
      <c r="E51" s="13" t="str">
        <f ca="1">IF(OR(C51="",D51=""),"",'Faiz Hesaplanan'!$B$2*D51/100*C51/365)</f>
        <v/>
      </c>
      <c r="F51" s="7"/>
    </row>
    <row r="52" spans="1:6">
      <c r="A52" s="11" t="str">
        <f ca="1">IF(OR(B51="",B51&gt;='Faiz Hesaplanan'!$B$4),"",B51+1)</f>
        <v/>
      </c>
      <c r="B52" s="11" t="str">
        <f ca="1">IF(A52="","",MIN('Faiz Hesaplanan'!$B$4,INDEX('Kaynak Veri'!$F$2:$F$61,MATCH(A52,'Kaynak Veri'!$A$2:$A$61,1))))</f>
        <v/>
      </c>
      <c r="C52" s="12" t="str">
        <f ca="1">IF(OR(A52="",B52=""),"",B52-A52+1-IF(B52='Faiz Hesaplanan'!$B$4,1,0)-IF(AND(A52&lt;=60,B52&gt;=60),1,0))</f>
        <v/>
      </c>
      <c r="D52" s="28" t="str">
        <f ca="1">IF(A52="","",INDEX('Kaynak Veri'!$C$2:$C$61,MATCH(A52,'Kaynak Veri'!$A$2:$A$61,1)))</f>
        <v/>
      </c>
      <c r="E52" s="13" t="str">
        <f ca="1">IF(OR(C52="",D52=""),"",'Faiz Hesaplanan'!$B$2*D52/100*C52/365)</f>
        <v/>
      </c>
      <c r="F52" s="7"/>
    </row>
    <row r="53" spans="1:6">
      <c r="A53" s="11" t="str">
        <f ca="1">IF(OR(B52="",B52&gt;='Faiz Hesaplanan'!$B$4),"",B52+1)</f>
        <v/>
      </c>
      <c r="B53" s="11" t="str">
        <f ca="1">IF(A53="","",MIN('Faiz Hesaplanan'!$B$4,INDEX('Kaynak Veri'!$F$2:$F$61,MATCH(A53,'Kaynak Veri'!$A$2:$A$61,1))))</f>
        <v/>
      </c>
      <c r="C53" s="12" t="str">
        <f ca="1">IF(OR(A53="",B53=""),"",B53-A53+1-IF(B53='Faiz Hesaplanan'!$B$4,1,0)-IF(AND(A53&lt;=60,B53&gt;=60),1,0))</f>
        <v/>
      </c>
      <c r="D53" s="28" t="str">
        <f ca="1">IF(A53="","",INDEX('Kaynak Veri'!$C$2:$C$61,MATCH(A53,'Kaynak Veri'!$A$2:$A$61,1)))</f>
        <v/>
      </c>
      <c r="E53" s="13" t="str">
        <f ca="1">IF(OR(C53="",D53=""),"",'Faiz Hesaplanan'!$B$2*D53/100*C53/365)</f>
        <v/>
      </c>
      <c r="F53" s="7"/>
    </row>
    <row r="54" spans="1:6">
      <c r="A54" s="11" t="str">
        <f ca="1">IF(OR(B53="",B53&gt;='Faiz Hesaplanan'!$B$4),"",B53+1)</f>
        <v/>
      </c>
      <c r="B54" s="11" t="str">
        <f ca="1">IF(A54="","",MIN('Faiz Hesaplanan'!$B$4,INDEX('Kaynak Veri'!$F$2:$F$61,MATCH(A54,'Kaynak Veri'!$A$2:$A$61,1))))</f>
        <v/>
      </c>
      <c r="C54" s="12" t="str">
        <f ca="1">IF(OR(A54="",B54=""),"",B54-A54+1-IF(B54='Faiz Hesaplanan'!$B$4,1,0)-IF(AND(A54&lt;=60,B54&gt;=60),1,0))</f>
        <v/>
      </c>
      <c r="D54" s="28" t="str">
        <f ca="1">IF(A54="","",INDEX('Kaynak Veri'!$C$2:$C$61,MATCH(A54,'Kaynak Veri'!$A$2:$A$61,1)))</f>
        <v/>
      </c>
      <c r="E54" s="13" t="str">
        <f ca="1">IF(OR(C54="",D54=""),"",'Faiz Hesaplanan'!$B$2*D54/100*C54/365)</f>
        <v/>
      </c>
      <c r="F54" s="7"/>
    </row>
    <row r="55" spans="1:6">
      <c r="A55" s="11" t="str">
        <f ca="1">IF(OR(B54="",B54&gt;='Faiz Hesaplanan'!$B$4),"",B54+1)</f>
        <v/>
      </c>
      <c r="B55" s="11" t="str">
        <f ca="1">IF(A55="","",MIN('Faiz Hesaplanan'!$B$4,INDEX('Kaynak Veri'!$F$2:$F$61,MATCH(A55,'Kaynak Veri'!$A$2:$A$61,1))))</f>
        <v/>
      </c>
      <c r="C55" s="12" t="str">
        <f ca="1">IF(OR(A55="",B55=""),"",B55-A55+1-IF(B55='Faiz Hesaplanan'!$B$4,1,0)-IF(AND(A55&lt;=60,B55&gt;=60),1,0))</f>
        <v/>
      </c>
      <c r="D55" s="28" t="str">
        <f ca="1">IF(A55="","",INDEX('Kaynak Veri'!$C$2:$C$61,MATCH(A55,'Kaynak Veri'!$A$2:$A$61,1)))</f>
        <v/>
      </c>
      <c r="E55" s="13" t="str">
        <f ca="1">IF(OR(C55="",D55=""),"",'Faiz Hesaplanan'!$B$2*D55/100*C55/365)</f>
        <v/>
      </c>
      <c r="F55" s="7"/>
    </row>
    <row r="56" spans="1:6">
      <c r="A56" s="11" t="str">
        <f ca="1">IF(OR(B55="",B55&gt;='Faiz Hesaplanan'!$B$4),"",B55+1)</f>
        <v/>
      </c>
      <c r="B56" s="11" t="str">
        <f ca="1">IF(A56="","",MIN('Faiz Hesaplanan'!$B$4,INDEX('Kaynak Veri'!$F$2:$F$61,MATCH(A56,'Kaynak Veri'!$A$2:$A$61,1))))</f>
        <v/>
      </c>
      <c r="C56" s="12" t="str">
        <f ca="1">IF(OR(A56="",B56=""),"",B56-A56+1-IF(B56='Faiz Hesaplanan'!$B$4,1,0)-IF(AND(A56&lt;=60,B56&gt;=60),1,0))</f>
        <v/>
      </c>
      <c r="D56" s="28" t="str">
        <f ca="1">IF(A56="","",INDEX('Kaynak Veri'!$C$2:$C$61,MATCH(A56,'Kaynak Veri'!$A$2:$A$61,1)))</f>
        <v/>
      </c>
      <c r="E56" s="13" t="str">
        <f ca="1">IF(OR(C56="",D56=""),"",'Faiz Hesaplanan'!$B$2*D56/100*C56/365)</f>
        <v/>
      </c>
      <c r="F56" s="7"/>
    </row>
    <row r="57" spans="1:6">
      <c r="A57" s="11" t="str">
        <f ca="1">IF(OR(B56="",B56&gt;='Faiz Hesaplanan'!$B$4),"",B56+1)</f>
        <v/>
      </c>
      <c r="B57" s="11" t="str">
        <f ca="1">IF(A57="","",MIN('Faiz Hesaplanan'!$B$4,INDEX('Kaynak Veri'!$F$2:$F$61,MATCH(A57,'Kaynak Veri'!$A$2:$A$61,1))))</f>
        <v/>
      </c>
      <c r="C57" s="12" t="str">
        <f ca="1">IF(OR(A57="",B57=""),"",B57-A57+1-IF(B57='Faiz Hesaplanan'!$B$4,1,0)-IF(AND(A57&lt;=60,B57&gt;=60),1,0))</f>
        <v/>
      </c>
      <c r="D57" s="28" t="str">
        <f ca="1">IF(A57="","",INDEX('Kaynak Veri'!$C$2:$C$61,MATCH(A57,'Kaynak Veri'!$A$2:$A$61,1)))</f>
        <v/>
      </c>
      <c r="E57" s="13" t="str">
        <f ca="1">IF(OR(C57="",D57=""),"",'Faiz Hesaplanan'!$B$2*D57/100*C57/365)</f>
        <v/>
      </c>
      <c r="F57" s="7"/>
    </row>
    <row r="58" spans="1:6">
      <c r="A58" s="11" t="str">
        <f ca="1">IF(OR(B57="",B57&gt;='Faiz Hesaplanan'!$B$4),"",B57+1)</f>
        <v/>
      </c>
      <c r="B58" s="11" t="str">
        <f ca="1">IF(A58="","",MIN('Faiz Hesaplanan'!$B$4,INDEX('Kaynak Veri'!$F$2:$F$61,MATCH(A58,'Kaynak Veri'!$A$2:$A$61,1))))</f>
        <v/>
      </c>
      <c r="C58" s="12" t="str">
        <f ca="1">IF(OR(A58="",B58=""),"",B58-A58+1-IF(B58='Faiz Hesaplanan'!$B$4,1,0)-IF(AND(A58&lt;=60,B58&gt;=60),1,0))</f>
        <v/>
      </c>
      <c r="D58" s="28" t="str">
        <f ca="1">IF(A58="","",INDEX('Kaynak Veri'!$C$2:$C$61,MATCH(A58,'Kaynak Veri'!$A$2:$A$61,1)))</f>
        <v/>
      </c>
      <c r="E58" s="13" t="str">
        <f ca="1">IF(OR(C58="",D58=""),"",'Faiz Hesaplanan'!$B$2*D58/100*C58/365)</f>
        <v/>
      </c>
      <c r="F58" s="7"/>
    </row>
    <row r="59" spans="1:6">
      <c r="A59" s="11" t="str">
        <f ca="1">IF(OR(B58="",B58&gt;='Faiz Hesaplanan'!$B$4),"",B58+1)</f>
        <v/>
      </c>
      <c r="B59" s="11" t="str">
        <f ca="1">IF(A59="","",MIN('Faiz Hesaplanan'!$B$4,INDEX('Kaynak Veri'!$F$2:$F$61,MATCH(A59,'Kaynak Veri'!$A$2:$A$61,1))))</f>
        <v/>
      </c>
      <c r="C59" s="12" t="str">
        <f ca="1">IF(OR(A59="",B59=""),"",B59-A59+1-IF(B59='Faiz Hesaplanan'!$B$4,1,0)-IF(AND(A59&lt;=60,B59&gt;=60),1,0))</f>
        <v/>
      </c>
      <c r="D59" s="28" t="str">
        <f ca="1">IF(A59="","",INDEX('Kaynak Veri'!$C$2:$C$61,MATCH(A59,'Kaynak Veri'!$A$2:$A$61,1)))</f>
        <v/>
      </c>
      <c r="E59" s="13" t="str">
        <f ca="1">IF(OR(C59="",D59=""),"",'Faiz Hesaplanan'!$B$2*D59/100*C59/365)</f>
        <v/>
      </c>
      <c r="F59" s="7"/>
    </row>
    <row r="60" spans="1:6">
      <c r="A60" s="11" t="str">
        <f ca="1">IF(OR(B59="",B59&gt;='Faiz Hesaplanan'!$B$4),"",B59+1)</f>
        <v/>
      </c>
      <c r="B60" s="11" t="str">
        <f ca="1">IF(A60="","",MIN('Faiz Hesaplanan'!$B$4,INDEX('Kaynak Veri'!$F$2:$F$61,MATCH(A60,'Kaynak Veri'!$A$2:$A$61,1))))</f>
        <v/>
      </c>
      <c r="C60" s="12" t="str">
        <f ca="1">IF(OR(A60="",B60=""),"",B60-A60+1-IF(B60='Faiz Hesaplanan'!$B$4,1,0)-IF(AND(A60&lt;=60,B60&gt;=60),1,0))</f>
        <v/>
      </c>
      <c r="D60" s="28" t="str">
        <f ca="1">IF(A60="","",INDEX('Kaynak Veri'!$C$2:$C$61,MATCH(A60,'Kaynak Veri'!$A$2:$A$61,1)))</f>
        <v/>
      </c>
      <c r="E60" s="13" t="str">
        <f ca="1">IF(OR(C60="",D60=""),"",'Faiz Hesaplanan'!$B$2*D60/100*C60/365)</f>
        <v/>
      </c>
      <c r="F60" s="7"/>
    </row>
    <row r="61" spans="1:6">
      <c r="A61" s="11" t="str">
        <f ca="1">IF(OR(B60="",B60&gt;='Faiz Hesaplanan'!$B$4),"",B60+1)</f>
        <v/>
      </c>
      <c r="B61" s="11" t="str">
        <f ca="1">IF(A61="","",MIN('Faiz Hesaplanan'!$B$4,INDEX('Kaynak Veri'!$F$2:$F$61,MATCH(A61,'Kaynak Veri'!$A$2:$A$61,1))))</f>
        <v/>
      </c>
      <c r="C61" s="12" t="str">
        <f ca="1">IF(OR(A61="",B61=""),"",B61-A61+1-IF(B61='Faiz Hesaplanan'!$B$4,1,0)-IF(AND(A61&lt;=60,B61&gt;=60),1,0))</f>
        <v/>
      </c>
      <c r="D61" s="28" t="str">
        <f ca="1">IF(A61="","",INDEX('Kaynak Veri'!$C$2:$C$61,MATCH(A61,'Kaynak Veri'!$A$2:$A$61,1)))</f>
        <v/>
      </c>
      <c r="E61" s="13" t="str">
        <f ca="1">IF(OR(C61="",D61=""),"",'Faiz Hesaplanan'!$B$2*D61/100*C61/365)</f>
        <v/>
      </c>
      <c r="F61" s="7"/>
    </row>
    <row r="62" spans="1:6">
      <c r="A62" s="11" t="str">
        <f ca="1">IF(OR(B61="",B61&gt;='Faiz Hesaplanan'!$B$4),"",B61+1)</f>
        <v/>
      </c>
      <c r="B62" s="11" t="str">
        <f ca="1">IF(A62="","",MIN('Faiz Hesaplanan'!$B$4,INDEX('Kaynak Veri'!$F$2:$F$61,MATCH(A62,'Kaynak Veri'!$A$2:$A$61,1))))</f>
        <v/>
      </c>
      <c r="C62" s="12" t="str">
        <f ca="1">IF(OR(A62="",B62=""),"",B62-A62+1-IF(B62='Faiz Hesaplanan'!$B$4,1,0)-IF(AND(A62&lt;=60,B62&gt;=60),1,0))</f>
        <v/>
      </c>
      <c r="D62" s="28" t="str">
        <f ca="1">IF(A62="","",INDEX('Kaynak Veri'!$C$2:$C$61,MATCH(A62,'Kaynak Veri'!$A$2:$A$61,1)))</f>
        <v/>
      </c>
      <c r="E62" s="13" t="str">
        <f ca="1">IF(OR(C62="",D62=""),"",'Faiz Hesaplanan'!$B$2*D62/100*C62/365)</f>
        <v/>
      </c>
      <c r="F62" s="7"/>
    </row>
    <row r="63" spans="1:6">
      <c r="A63" s="11" t="str">
        <f ca="1">IF(OR(B62="",B62&gt;='Faiz Hesaplanan'!$B$4),"",B62+1)</f>
        <v/>
      </c>
      <c r="B63" s="11" t="str">
        <f ca="1">IF(A63="","",MIN('Faiz Hesaplanan'!$B$4,INDEX('Kaynak Veri'!$F$2:$F$61,MATCH(A63,'Kaynak Veri'!$A$2:$A$61,1))))</f>
        <v/>
      </c>
      <c r="C63" s="12" t="str">
        <f ca="1">IF(OR(A63="",B63=""),"",B63-A63+1-IF(B63='Faiz Hesaplanan'!$B$4,1,0)-IF(AND(A63&lt;=60,B63&gt;=60),1,0))</f>
        <v/>
      </c>
      <c r="D63" s="28" t="str">
        <f ca="1">IF(A63="","",INDEX('Kaynak Veri'!$C$2:$C$61,MATCH(A63,'Kaynak Veri'!$A$2:$A$61,1)))</f>
        <v/>
      </c>
      <c r="E63" s="13" t="str">
        <f ca="1">IF(OR(C63="",D63=""),"",'Faiz Hesaplanan'!$B$2*D63/100*C63/365)</f>
        <v/>
      </c>
      <c r="F63" s="7"/>
    </row>
    <row r="64" spans="1:6">
      <c r="A64" s="11" t="str">
        <f ca="1">IF(OR(B63="",B63&gt;='Faiz Hesaplanan'!$B$4),"",B63+1)</f>
        <v/>
      </c>
      <c r="B64" s="11" t="str">
        <f ca="1">IF(A64="","",MIN('Faiz Hesaplanan'!$B$4,INDEX('Kaynak Veri'!$F$2:$F$61,MATCH(A64,'Kaynak Veri'!$A$2:$A$61,1))))</f>
        <v/>
      </c>
      <c r="C64" s="12" t="str">
        <f ca="1">IF(OR(A64="",B64=""),"",B64-A64+1-IF(B64='Faiz Hesaplanan'!$B$4,1,0)-IF(AND(A64&lt;=60,B64&gt;=60),1,0))</f>
        <v/>
      </c>
      <c r="D64" s="28" t="str">
        <f ca="1">IF(A64="","",INDEX('Kaynak Veri'!$C$2:$C$61,MATCH(A64,'Kaynak Veri'!$A$2:$A$61,1)))</f>
        <v/>
      </c>
      <c r="E64" s="13" t="str">
        <f ca="1">IF(OR(C64="",D64=""),"",'Faiz Hesaplanan'!$B$2*D64/100*C64/365)</f>
        <v/>
      </c>
      <c r="F64" s="7"/>
    </row>
    <row r="65" spans="1:6">
      <c r="A65" s="11" t="str">
        <f ca="1">IF(OR(B64="",B64&gt;='Faiz Hesaplanan'!$B$4),"",B64+1)</f>
        <v/>
      </c>
      <c r="B65" s="11" t="str">
        <f ca="1">IF(A65="","",MIN('Faiz Hesaplanan'!$B$4,INDEX('Kaynak Veri'!$F$2:$F$61,MATCH(A65,'Kaynak Veri'!$A$2:$A$61,1))))</f>
        <v/>
      </c>
      <c r="C65" s="12" t="str">
        <f ca="1">IF(OR(A65="",B65=""),"",B65-A65+1-IF(B65='Faiz Hesaplanan'!$B$4,1,0)-IF(AND(A65&lt;=60,B65&gt;=60),1,0))</f>
        <v/>
      </c>
      <c r="D65" s="28" t="str">
        <f ca="1">IF(A65="","",INDEX('Kaynak Veri'!$C$2:$C$61,MATCH(A65,'Kaynak Veri'!$A$2:$A$61,1)))</f>
        <v/>
      </c>
      <c r="E65" s="13" t="str">
        <f ca="1">IF(OR(C65="",D65=""),"",'Faiz Hesaplanan'!$B$2*D65/100*C65/365)</f>
        <v/>
      </c>
      <c r="F65" s="7"/>
    </row>
    <row r="66" spans="1:6">
      <c r="A66" s="11" t="str">
        <f ca="1">IF(OR(B65="",B65&gt;='Faiz Hesaplanan'!$B$4),"",B65+1)</f>
        <v/>
      </c>
      <c r="B66" s="11" t="str">
        <f ca="1">IF(A66="","",MIN('Faiz Hesaplanan'!$B$4,INDEX('Kaynak Veri'!$F$2:$F$61,MATCH(A66,'Kaynak Veri'!$A$2:$A$61,1))))</f>
        <v/>
      </c>
      <c r="C66" s="12" t="str">
        <f ca="1">IF(OR(A66="",B66=""),"",B66-A66+1-IF(B66='Faiz Hesaplanan'!$B$4,1,0)-IF(AND(A66&lt;=60,B66&gt;=60),1,0))</f>
        <v/>
      </c>
      <c r="D66" s="28" t="str">
        <f ca="1">IF(A66="","",INDEX('Kaynak Veri'!$C$2:$C$61,MATCH(A66,'Kaynak Veri'!$A$2:$A$61,1)))</f>
        <v/>
      </c>
      <c r="E66" s="13" t="str">
        <f ca="1">IF(OR(C66="",D66=""),"",'Faiz Hesaplanan'!$B$2*D66/100*C66/365)</f>
        <v/>
      </c>
      <c r="F66" s="7"/>
    </row>
    <row r="67" spans="1:6">
      <c r="A67" s="11" t="str">
        <f ca="1">IF(OR(B66="",B66&gt;='Faiz Hesaplanan'!$B$4),"",B66+1)</f>
        <v/>
      </c>
      <c r="B67" s="11" t="str">
        <f ca="1">IF(A67="","",MIN('Faiz Hesaplanan'!$B$4,INDEX('Kaynak Veri'!$F$2:$F$61,MATCH(A67,'Kaynak Veri'!$A$2:$A$61,1))))</f>
        <v/>
      </c>
      <c r="C67" s="12" t="str">
        <f ca="1">IF(OR(A67="",B67=""),"",B67-A67+1-IF(B67='Faiz Hesaplanan'!$B$4,1,0)-IF(AND(A67&lt;=60,B67&gt;=60),1,0))</f>
        <v/>
      </c>
      <c r="D67" s="28" t="str">
        <f ca="1">IF(A67="","",INDEX('Kaynak Veri'!$C$2:$C$61,MATCH(A67,'Kaynak Veri'!$A$2:$A$61,1)))</f>
        <v/>
      </c>
      <c r="E67" s="13" t="str">
        <f ca="1">IF(OR(C67="",D67=""),"",'Faiz Hesaplanan'!$B$2*D67/100*C67/365)</f>
        <v/>
      </c>
      <c r="F67" s="7"/>
    </row>
    <row r="68" spans="1:6">
      <c r="A68" s="11" t="str">
        <f ca="1">IF(OR(B67="",B67&gt;='Faiz Hesaplanan'!$B$4),"",B67+1)</f>
        <v/>
      </c>
      <c r="B68" s="11" t="str">
        <f ca="1">IF(A68="","",MIN('Faiz Hesaplanan'!$B$4,INDEX('Kaynak Veri'!$F$2:$F$61,MATCH(A68,'Kaynak Veri'!$A$2:$A$61,1))))</f>
        <v/>
      </c>
      <c r="C68" s="12" t="str">
        <f ca="1">IF(OR(A68="",B68=""),"",B68-A68+1-IF(B68='Faiz Hesaplanan'!$B$4,1,0)-IF(AND(A68&lt;=60,B68&gt;=60),1,0))</f>
        <v/>
      </c>
      <c r="D68" s="28" t="str">
        <f ca="1">IF(A68="","",INDEX('Kaynak Veri'!$C$2:$C$61,MATCH(A68,'Kaynak Veri'!$A$2:$A$61,1)))</f>
        <v/>
      </c>
      <c r="E68" s="13" t="str">
        <f ca="1">IF(OR(C68="",D68=""),"",'Faiz Hesaplanan'!$B$2*D68/100*C68/365)</f>
        <v/>
      </c>
      <c r="F68" s="7"/>
    </row>
    <row r="69" spans="1:6">
      <c r="A69" s="11" t="str">
        <f ca="1">IF(OR(B68="",B68&gt;='Faiz Hesaplanan'!$B$4),"",B68+1)</f>
        <v/>
      </c>
      <c r="B69" s="11" t="str">
        <f ca="1">IF(A69="","",MIN('Faiz Hesaplanan'!$B$4,INDEX('Kaynak Veri'!$F$2:$F$61,MATCH(A69,'Kaynak Veri'!$A$2:$A$61,1))))</f>
        <v/>
      </c>
      <c r="C69" s="12" t="str">
        <f ca="1">IF(OR(A69="",B69=""),"",B69-A69+1-IF(B69='Faiz Hesaplanan'!$B$4,1,0)-IF(AND(A69&lt;=60,B69&gt;=60),1,0))</f>
        <v/>
      </c>
      <c r="D69" s="28" t="str">
        <f ca="1">IF(A69="","",INDEX('Kaynak Veri'!$C$2:$C$61,MATCH(A69,'Kaynak Veri'!$A$2:$A$61,1)))</f>
        <v/>
      </c>
      <c r="E69" s="13" t="str">
        <f ca="1">IF(OR(C69="",D69=""),"",'Faiz Hesaplanan'!$B$2*D69/100*C69/365)</f>
        <v/>
      </c>
      <c r="F69" s="7"/>
    </row>
    <row r="70" spans="1:6">
      <c r="A70" s="11" t="str">
        <f ca="1">IF(OR(B69="",B69&gt;='Faiz Hesaplanan'!$B$4),"",B69+1)</f>
        <v/>
      </c>
      <c r="B70" s="11" t="str">
        <f ca="1">IF(A70="","",MIN('Faiz Hesaplanan'!$B$4,INDEX('Kaynak Veri'!$F$2:$F$61,MATCH(A70,'Kaynak Veri'!$A$2:$A$61,1))))</f>
        <v/>
      </c>
      <c r="C70" s="12" t="str">
        <f ca="1">IF(OR(A70="",B70=""),"",B70-A70+1-IF(B70='Faiz Hesaplanan'!$B$4,1,0)-IF(AND(A70&lt;=60,B70&gt;=60),1,0))</f>
        <v/>
      </c>
      <c r="D70" s="28" t="str">
        <f ca="1">IF(A70="","",INDEX('Kaynak Veri'!$C$2:$C$61,MATCH(A70,'Kaynak Veri'!$A$2:$A$61,1)))</f>
        <v/>
      </c>
      <c r="E70" s="13" t="str">
        <f ca="1">IF(OR(C70="",D70=""),"",'Faiz Hesaplanan'!$B$2*D70/100*C70/365)</f>
        <v/>
      </c>
      <c r="F70" s="7"/>
    </row>
    <row r="71" spans="1:6">
      <c r="A71" s="11" t="str">
        <f ca="1">IF(OR(B70="",B70&gt;='Faiz Hesaplanan'!$B$4),"",B70+1)</f>
        <v/>
      </c>
      <c r="B71" s="11" t="str">
        <f ca="1">IF(A71="","",MIN('Faiz Hesaplanan'!$B$4,INDEX('Kaynak Veri'!$F$2:$F$61,MATCH(A71,'Kaynak Veri'!$A$2:$A$61,1))))</f>
        <v/>
      </c>
      <c r="C71" s="12" t="str">
        <f ca="1">IF(OR(A71="",B71=""),"",B71-A71+1-IF(B71='Faiz Hesaplanan'!$B$4,1,0)-IF(AND(A71&lt;=60,B71&gt;=60),1,0))</f>
        <v/>
      </c>
      <c r="D71" s="28" t="str">
        <f ca="1">IF(A71="","",INDEX('Kaynak Veri'!$C$2:$C$61,MATCH(A71,'Kaynak Veri'!$A$2:$A$61,1)))</f>
        <v/>
      </c>
      <c r="E71" s="13" t="str">
        <f ca="1">IF(OR(C71="",D71=""),"",'Faiz Hesaplanan'!$B$2*D71/100*C71/365)</f>
        <v/>
      </c>
      <c r="F71" s="7"/>
    </row>
    <row r="72" spans="1:6">
      <c r="A72" s="11" t="str">
        <f ca="1">IF(OR(B71="",B71&gt;='Faiz Hesaplanan'!$B$4),"",B71+1)</f>
        <v/>
      </c>
      <c r="B72" s="11" t="str">
        <f ca="1">IF(A72="","",MIN('Faiz Hesaplanan'!$B$4,INDEX('Kaynak Veri'!$F$2:$F$61,MATCH(A72,'Kaynak Veri'!$A$2:$A$61,1))))</f>
        <v/>
      </c>
      <c r="C72" s="12" t="str">
        <f ca="1">IF(OR(A72="",B72=""),"",B72-A72+1-IF(B72='Faiz Hesaplanan'!$B$4,1,0)-IF(AND(A72&lt;=60,B72&gt;=60),1,0))</f>
        <v/>
      </c>
      <c r="D72" s="28" t="str">
        <f ca="1">IF(A72="","",INDEX('Kaynak Veri'!$C$2:$C$61,MATCH(A72,'Kaynak Veri'!$A$2:$A$61,1)))</f>
        <v/>
      </c>
      <c r="E72" s="13" t="str">
        <f ca="1">IF(OR(C72="",D72=""),"",'Faiz Hesaplanan'!$B$2*D72/100*C72/365)</f>
        <v/>
      </c>
      <c r="F72" s="7"/>
    </row>
    <row r="73" spans="1:6">
      <c r="A73" s="11" t="str">
        <f ca="1">IF(OR(B72="",B72&gt;='Faiz Hesaplanan'!$B$4),"",B72+1)</f>
        <v/>
      </c>
      <c r="B73" s="11" t="str">
        <f ca="1">IF(A73="","",MIN('Faiz Hesaplanan'!$B$4,INDEX('Kaynak Veri'!$F$2:$F$61,MATCH(A73,'Kaynak Veri'!$A$2:$A$61,1))))</f>
        <v/>
      </c>
      <c r="C73" s="12" t="str">
        <f ca="1">IF(OR(A73="",B73=""),"",B73-A73+1-IF(B73='Faiz Hesaplanan'!$B$4,1,0)-IF(AND(A73&lt;=60,B73&gt;=60),1,0))</f>
        <v/>
      </c>
      <c r="D73" s="28" t="str">
        <f ca="1">IF(A73="","",INDEX('Kaynak Veri'!$C$2:$C$61,MATCH(A73,'Kaynak Veri'!$A$2:$A$61,1)))</f>
        <v/>
      </c>
      <c r="E73" s="13" t="str">
        <f ca="1">IF(OR(C73="",D73=""),"",'Faiz Hesaplanan'!$B$2*D73/100*C73/365)</f>
        <v/>
      </c>
      <c r="F73" s="7"/>
    </row>
    <row r="74" spans="1:6">
      <c r="A74" s="11" t="str">
        <f ca="1">IF(OR(B73="",B73&gt;='Faiz Hesaplanan'!$B$4),"",B73+1)</f>
        <v/>
      </c>
      <c r="B74" s="11" t="str">
        <f ca="1">IF(A74="","",MIN('Faiz Hesaplanan'!$B$4,INDEX('Kaynak Veri'!$F$2:$F$61,MATCH(A74,'Kaynak Veri'!$A$2:$A$61,1))))</f>
        <v/>
      </c>
      <c r="C74" s="12" t="str">
        <f ca="1">IF(OR(A74="",B74=""),"",B74-A74+1-IF(B74='Faiz Hesaplanan'!$B$4,1,0)-IF(AND(A74&lt;=60,B74&gt;=60),1,0))</f>
        <v/>
      </c>
      <c r="D74" s="28" t="str">
        <f ca="1">IF(A74="","",INDEX('Kaynak Veri'!$C$2:$C$61,MATCH(A74,'Kaynak Veri'!$A$2:$A$61,1)))</f>
        <v/>
      </c>
      <c r="E74" s="13" t="str">
        <f ca="1">IF(OR(C74="",D74=""),"",'Faiz Hesaplanan'!$B$2*D74/100*C74/365)</f>
        <v/>
      </c>
      <c r="F74" s="7"/>
    </row>
    <row r="75" spans="1:6">
      <c r="A75" s="11" t="str">
        <f ca="1">IF(OR(B74="",B74&gt;='Faiz Hesaplanan'!$B$4),"",B74+1)</f>
        <v/>
      </c>
      <c r="B75" s="11" t="str">
        <f ca="1">IF(A75="","",MIN('Faiz Hesaplanan'!$B$4,INDEX('Kaynak Veri'!$F$2:$F$61,MATCH(A75,'Kaynak Veri'!$A$2:$A$61,1))))</f>
        <v/>
      </c>
      <c r="C75" s="12" t="str">
        <f ca="1">IF(OR(A75="",B75=""),"",B75-A75+1-IF(B75='Faiz Hesaplanan'!$B$4,1,0)-IF(AND(A75&lt;=60,B75&gt;=60),1,0))</f>
        <v/>
      </c>
      <c r="D75" s="28" t="str">
        <f ca="1">IF(A75="","",INDEX('Kaynak Veri'!$C$2:$C$61,MATCH(A75,'Kaynak Veri'!$A$2:$A$61,1)))</f>
        <v/>
      </c>
      <c r="E75" s="13" t="str">
        <f ca="1">IF(OR(C75="",D75=""),"",'Faiz Hesaplanan'!$B$2*D75/100*C75/365)</f>
        <v/>
      </c>
      <c r="F75" s="7"/>
    </row>
    <row r="76" spans="1:6">
      <c r="A76" s="11" t="str">
        <f ca="1">IF(OR(B75="",B75&gt;='Faiz Hesaplanan'!$B$4),"",B75+1)</f>
        <v/>
      </c>
      <c r="B76" s="11" t="str">
        <f ca="1">IF(A76="","",MIN('Faiz Hesaplanan'!$B$4,INDEX('Kaynak Veri'!$F$2:$F$61,MATCH(A76,'Kaynak Veri'!$A$2:$A$61,1))))</f>
        <v/>
      </c>
      <c r="C76" s="12" t="str">
        <f ca="1">IF(OR(A76="",B76=""),"",B76-A76+1-IF(B76='Faiz Hesaplanan'!$B$4,1,0)-IF(AND(A76&lt;=60,B76&gt;=60),1,0))</f>
        <v/>
      </c>
      <c r="D76" s="28" t="str">
        <f ca="1">IF(A76="","",INDEX('Kaynak Veri'!$C$2:$C$61,MATCH(A76,'Kaynak Veri'!$A$2:$A$61,1)))</f>
        <v/>
      </c>
      <c r="E76" s="13" t="str">
        <f ca="1">IF(OR(C76="",D76=""),"",'Faiz Hesaplanan'!$B$2*D76/100*C76/365)</f>
        <v/>
      </c>
      <c r="F76" s="7"/>
    </row>
    <row r="77" spans="1:6">
      <c r="A77" s="11" t="str">
        <f ca="1">IF(OR(B76="",B76&gt;='Faiz Hesaplanan'!$B$4),"",B76+1)</f>
        <v/>
      </c>
      <c r="B77" s="11" t="str">
        <f ca="1">IF(A77="","",MIN('Faiz Hesaplanan'!$B$4,INDEX('Kaynak Veri'!$F$2:$F$61,MATCH(A77,'Kaynak Veri'!$A$2:$A$61,1))))</f>
        <v/>
      </c>
      <c r="C77" s="12" t="str">
        <f ca="1">IF(OR(A77="",B77=""),"",B77-A77+1-IF(B77='Faiz Hesaplanan'!$B$4,1,0)-IF(AND(A77&lt;=60,B77&gt;=60),1,0))</f>
        <v/>
      </c>
      <c r="D77" s="28" t="str">
        <f ca="1">IF(A77="","",INDEX('Kaynak Veri'!$C$2:$C$61,MATCH(A77,'Kaynak Veri'!$A$2:$A$61,1)))</f>
        <v/>
      </c>
      <c r="E77" s="13" t="str">
        <f ca="1">IF(OR(C77="",D77=""),"",'Faiz Hesaplanan'!$B$2*D77/100*C77/365)</f>
        <v/>
      </c>
      <c r="F77" s="7"/>
    </row>
    <row r="78" spans="1:6">
      <c r="A78" s="11" t="str">
        <f ca="1">IF(OR(B77="",B77&gt;='Faiz Hesaplanan'!$B$4),"",B77+1)</f>
        <v/>
      </c>
      <c r="B78" s="11" t="str">
        <f ca="1">IF(A78="","",MIN('Faiz Hesaplanan'!$B$4,INDEX('Kaynak Veri'!$F$2:$F$61,MATCH(A78,'Kaynak Veri'!$A$2:$A$61,1))))</f>
        <v/>
      </c>
      <c r="C78" s="12" t="str">
        <f ca="1">IF(OR(A78="",B78=""),"",B78-A78+1-IF(B78='Faiz Hesaplanan'!$B$4,1,0)-IF(AND(A78&lt;=60,B78&gt;=60),1,0))</f>
        <v/>
      </c>
      <c r="D78" s="28" t="str">
        <f ca="1">IF(A78="","",INDEX('Kaynak Veri'!$C$2:$C$61,MATCH(A78,'Kaynak Veri'!$A$2:$A$61,1)))</f>
        <v/>
      </c>
      <c r="E78" s="13" t="str">
        <f ca="1">IF(OR(C78="",D78=""),"",'Faiz Hesaplanan'!$B$2*D78/100*C78/365)</f>
        <v/>
      </c>
      <c r="F78" s="7"/>
    </row>
    <row r="79" spans="1:6">
      <c r="A79" s="11" t="str">
        <f ca="1">IF(OR(B78="",B78&gt;='Faiz Hesaplanan'!$B$4),"",B78+1)</f>
        <v/>
      </c>
      <c r="B79" s="11" t="str">
        <f ca="1">IF(A79="","",MIN('Faiz Hesaplanan'!$B$4,INDEX('Kaynak Veri'!$F$2:$F$61,MATCH(A79,'Kaynak Veri'!$A$2:$A$61,1))))</f>
        <v/>
      </c>
      <c r="C79" s="12" t="str">
        <f ca="1">IF(OR(A79="",B79=""),"",B79-A79+1-IF(B79='Faiz Hesaplanan'!$B$4,1,0)-IF(AND(A79&lt;=60,B79&gt;=60),1,0))</f>
        <v/>
      </c>
      <c r="D79" s="28" t="str">
        <f ca="1">IF(A79="","",INDEX('Kaynak Veri'!$C$2:$C$61,MATCH(A79,'Kaynak Veri'!$A$2:$A$61,1)))</f>
        <v/>
      </c>
      <c r="E79" s="13" t="str">
        <f ca="1">IF(OR(C79="",D79=""),"",'Faiz Hesaplanan'!$B$2*D79/100*C79/365)</f>
        <v/>
      </c>
      <c r="F79" s="7"/>
    </row>
    <row r="80" spans="1:6">
      <c r="A80" s="11" t="str">
        <f ca="1">IF(OR(B79="",B79&gt;='Faiz Hesaplanan'!$B$4),"",B79+1)</f>
        <v/>
      </c>
      <c r="B80" s="11" t="str">
        <f ca="1">IF(A80="","",MIN('Faiz Hesaplanan'!$B$4,INDEX('Kaynak Veri'!$F$2:$F$61,MATCH(A80,'Kaynak Veri'!$A$2:$A$61,1))))</f>
        <v/>
      </c>
      <c r="C80" s="12" t="str">
        <f ca="1">IF(OR(A80="",B80=""),"",B80-A80+1-IF(B80='Faiz Hesaplanan'!$B$4,1,0)-IF(AND(A80&lt;=60,B80&gt;=60),1,0))</f>
        <v/>
      </c>
      <c r="D80" s="28" t="str">
        <f ca="1">IF(A80="","",INDEX('Kaynak Veri'!$C$2:$C$61,MATCH(A80,'Kaynak Veri'!$A$2:$A$61,1)))</f>
        <v/>
      </c>
      <c r="E80" s="13" t="str">
        <f ca="1">IF(OR(C80="",D80=""),"",'Faiz Hesaplanan'!$B$2*D80/100*C80/365)</f>
        <v/>
      </c>
      <c r="F80" s="7"/>
    </row>
    <row r="81" spans="1:6">
      <c r="A81" s="11" t="str">
        <f ca="1">IF(OR(B80="",B80&gt;='Faiz Hesaplanan'!$B$4),"",B80+1)</f>
        <v/>
      </c>
      <c r="B81" s="11" t="str">
        <f ca="1">IF(A81="","",MIN('Faiz Hesaplanan'!$B$4,INDEX('Kaynak Veri'!$F$2:$F$61,MATCH(A81,'Kaynak Veri'!$A$2:$A$61,1))))</f>
        <v/>
      </c>
      <c r="C81" s="12" t="str">
        <f ca="1">IF(OR(A81="",B81=""),"",B81-A81+1-IF(B81='Faiz Hesaplanan'!$B$4,1,0)-IF(AND(A81&lt;=60,B81&gt;=60),1,0))</f>
        <v/>
      </c>
      <c r="D81" s="28" t="str">
        <f ca="1">IF(A81="","",INDEX('Kaynak Veri'!$C$2:$C$61,MATCH(A81,'Kaynak Veri'!$A$2:$A$61,1)))</f>
        <v/>
      </c>
      <c r="E81" s="13" t="str">
        <f ca="1">IF(OR(C81="",D81=""),"",'Faiz Hesaplanan'!$B$2*D81/100*C81/365)</f>
        <v/>
      </c>
      <c r="F81" s="7"/>
    </row>
    <row r="82" spans="1:6">
      <c r="A82" s="11" t="str">
        <f ca="1">IF(OR(B81="",B81&gt;='Faiz Hesaplanan'!$B$4),"",B81+1)</f>
        <v/>
      </c>
      <c r="B82" s="11" t="str">
        <f ca="1">IF(A82="","",MIN('Faiz Hesaplanan'!$B$4,INDEX('Kaynak Veri'!$F$2:$F$61,MATCH(A82,'Kaynak Veri'!$A$2:$A$61,1))))</f>
        <v/>
      </c>
      <c r="C82" s="12" t="str">
        <f ca="1">IF(OR(A82="",B82=""),"",B82-A82+1-IF(B82='Faiz Hesaplanan'!$B$4,1,0)-IF(AND(A82&lt;=60,B82&gt;=60),1,0))</f>
        <v/>
      </c>
      <c r="D82" s="28" t="str">
        <f ca="1">IF(A82="","",INDEX('Kaynak Veri'!$C$2:$C$61,MATCH(A82,'Kaynak Veri'!$A$2:$A$61,1)))</f>
        <v/>
      </c>
      <c r="E82" s="13" t="str">
        <f ca="1">IF(OR(C82="",D82=""),"",'Faiz Hesaplanan'!$B$2*D82/100*C82/365)</f>
        <v/>
      </c>
      <c r="F82" s="7"/>
    </row>
    <row r="83" spans="1:6">
      <c r="A83" s="11" t="str">
        <f ca="1">IF(OR(B82="",B82&gt;='Faiz Hesaplanan'!$B$4),"",B82+1)</f>
        <v/>
      </c>
      <c r="B83" s="11" t="str">
        <f ca="1">IF(A83="","",MIN('Faiz Hesaplanan'!$B$4,INDEX('Kaynak Veri'!$F$2:$F$61,MATCH(A83,'Kaynak Veri'!$A$2:$A$61,1))))</f>
        <v/>
      </c>
      <c r="C83" s="12" t="str">
        <f ca="1">IF(OR(A83="",B83=""),"",B83-A83+1-IF(B83='Faiz Hesaplanan'!$B$4,1,0)-IF(AND(A83&lt;=60,B83&gt;=60),1,0))</f>
        <v/>
      </c>
      <c r="D83" s="28" t="str">
        <f ca="1">IF(A83="","",INDEX('Kaynak Veri'!$C$2:$C$61,MATCH(A83,'Kaynak Veri'!$A$2:$A$61,1)))</f>
        <v/>
      </c>
      <c r="E83" s="13" t="str">
        <f ca="1">IF(OR(C83="",D83=""),"",'Faiz Hesaplanan'!$B$2*D83/100*C83/365)</f>
        <v/>
      </c>
      <c r="F83" s="7"/>
    </row>
    <row r="84" spans="1:6">
      <c r="A84" s="11" t="str">
        <f ca="1">IF(OR(B83="",B83&gt;='Faiz Hesaplanan'!$B$4),"",B83+1)</f>
        <v/>
      </c>
      <c r="B84" s="11" t="str">
        <f ca="1">IF(A84="","",MIN('Faiz Hesaplanan'!$B$4,INDEX('Kaynak Veri'!$F$2:$F$61,MATCH(A84,'Kaynak Veri'!$A$2:$A$61,1))))</f>
        <v/>
      </c>
      <c r="C84" s="12" t="str">
        <f ca="1">IF(OR(A84="",B84=""),"",B84-A84+1-IF(B84='Faiz Hesaplanan'!$B$4,1,0)-IF(AND(A84&lt;=60,B84&gt;=60),1,0))</f>
        <v/>
      </c>
      <c r="D84" s="28" t="str">
        <f ca="1">IF(A84="","",INDEX('Kaynak Veri'!$C$2:$C$61,MATCH(A84,'Kaynak Veri'!$A$2:$A$61,1)))</f>
        <v/>
      </c>
      <c r="E84" s="13" t="str">
        <f ca="1">IF(OR(C84="",D84=""),"",'Faiz Hesaplanan'!$B$2*D84/100*C84/365)</f>
        <v/>
      </c>
      <c r="F84" s="7"/>
    </row>
    <row r="85" spans="1:6">
      <c r="A85" s="11" t="str">
        <f ca="1">IF(OR(B84="",B84&gt;='Faiz Hesaplanan'!$B$4),"",B84+1)</f>
        <v/>
      </c>
      <c r="B85" s="11" t="str">
        <f ca="1">IF(A85="","",MIN('Faiz Hesaplanan'!$B$4,INDEX('Kaynak Veri'!$F$2:$F$61,MATCH(A85,'Kaynak Veri'!$A$2:$A$61,1))))</f>
        <v/>
      </c>
      <c r="C85" s="12" t="str">
        <f ca="1">IF(OR(A85="",B85=""),"",B85-A85+1-IF(B85='Faiz Hesaplanan'!$B$4,1,0)-IF(AND(A85&lt;=60,B85&gt;=60),1,0))</f>
        <v/>
      </c>
      <c r="D85" s="28" t="str">
        <f ca="1">IF(A85="","",INDEX('Kaynak Veri'!$C$2:$C$61,MATCH(A85,'Kaynak Veri'!$A$2:$A$61,1)))</f>
        <v/>
      </c>
      <c r="E85" s="13" t="str">
        <f ca="1">IF(OR(C85="",D85=""),"",'Faiz Hesaplanan'!$B$2*D85/100*C85/365)</f>
        <v/>
      </c>
      <c r="F85" s="7"/>
    </row>
    <row r="86" spans="1:6">
      <c r="A86" s="11" t="str">
        <f ca="1">IF(OR(B85="",B85&gt;='Faiz Hesaplanan'!$B$4),"",B85+1)</f>
        <v/>
      </c>
      <c r="B86" s="11" t="str">
        <f ca="1">IF(A86="","",MIN('Faiz Hesaplanan'!$B$4,INDEX('Kaynak Veri'!$F$2:$F$61,MATCH(A86,'Kaynak Veri'!$A$2:$A$61,1))))</f>
        <v/>
      </c>
      <c r="C86" s="12" t="str">
        <f ca="1">IF(OR(A86="",B86=""),"",B86-A86+1-IF(B86='Faiz Hesaplanan'!$B$4,1,0)-IF(AND(A86&lt;=60,B86&gt;=60),1,0))</f>
        <v/>
      </c>
      <c r="D86" s="28" t="str">
        <f ca="1">IF(A86="","",INDEX('Kaynak Veri'!$C$2:$C$61,MATCH(A86,'Kaynak Veri'!$A$2:$A$61,1)))</f>
        <v/>
      </c>
      <c r="E86" s="13" t="str">
        <f ca="1">IF(OR(C86="",D86=""),"",'Faiz Hesaplanan'!$B$2*D86/100*C86/365)</f>
        <v/>
      </c>
      <c r="F86" s="7"/>
    </row>
    <row r="87" spans="1:6">
      <c r="A87" s="11" t="str">
        <f ca="1">IF(OR(B86="",B86&gt;='Faiz Hesaplanan'!$B$4),"",B86+1)</f>
        <v/>
      </c>
      <c r="B87" s="11" t="str">
        <f ca="1">IF(A87="","",MIN('Faiz Hesaplanan'!$B$4,INDEX('Kaynak Veri'!$F$2:$F$61,MATCH(A87,'Kaynak Veri'!$A$2:$A$61,1))))</f>
        <v/>
      </c>
      <c r="C87" s="12" t="str">
        <f ca="1">IF(OR(A87="",B87=""),"",B87-A87+1-IF(B87='Faiz Hesaplanan'!$B$4,1,0)-IF(AND(A87&lt;=60,B87&gt;=60),1,0))</f>
        <v/>
      </c>
      <c r="D87" s="28" t="str">
        <f ca="1">IF(A87="","",INDEX('Kaynak Veri'!$C$2:$C$61,MATCH(A87,'Kaynak Veri'!$A$2:$A$61,1)))</f>
        <v/>
      </c>
      <c r="E87" s="13" t="str">
        <f ca="1">IF(OR(C87="",D87=""),"",'Faiz Hesaplanan'!$B$2*D87/100*C87/365)</f>
        <v/>
      </c>
      <c r="F87" s="7"/>
    </row>
    <row r="88" spans="1:6">
      <c r="A88" s="11" t="str">
        <f ca="1">IF(OR(B87="",B87&gt;='Faiz Hesaplanan'!$B$4),"",B87+1)</f>
        <v/>
      </c>
      <c r="B88" s="11" t="str">
        <f ca="1">IF(A88="","",MIN('Faiz Hesaplanan'!$B$4,INDEX('Kaynak Veri'!$F$2:$F$61,MATCH(A88,'Kaynak Veri'!$A$2:$A$61,1))))</f>
        <v/>
      </c>
      <c r="C88" s="12" t="str">
        <f ca="1">IF(OR(A88="",B88=""),"",B88-A88+1-IF(B88='Faiz Hesaplanan'!$B$4,1,0)-IF(AND(A88&lt;=60,B88&gt;=60),1,0))</f>
        <v/>
      </c>
      <c r="D88" s="28" t="str">
        <f ca="1">IF(A88="","",INDEX('Kaynak Veri'!$C$2:$C$61,MATCH(A88,'Kaynak Veri'!$A$2:$A$61,1)))</f>
        <v/>
      </c>
      <c r="E88" s="13" t="str">
        <f ca="1">IF(OR(C88="",D88=""),"",'Faiz Hesaplanan'!$B$2*D88/100*C88/365)</f>
        <v/>
      </c>
      <c r="F88" s="7"/>
    </row>
    <row r="89" spans="1:6">
      <c r="A89" s="11" t="str">
        <f ca="1">IF(OR(B88="",B88&gt;='Faiz Hesaplanan'!$B$4),"",B88+1)</f>
        <v/>
      </c>
      <c r="B89" s="11" t="str">
        <f ca="1">IF(A89="","",MIN('Faiz Hesaplanan'!$B$4,INDEX('Kaynak Veri'!$F$2:$F$61,MATCH(A89,'Kaynak Veri'!$A$2:$A$61,1))))</f>
        <v/>
      </c>
      <c r="C89" s="12" t="str">
        <f ca="1">IF(OR(A89="",B89=""),"",B89-A89+1-IF(B89='Faiz Hesaplanan'!$B$4,1,0)-IF(AND(A89&lt;=60,B89&gt;=60),1,0))</f>
        <v/>
      </c>
      <c r="D89" s="28" t="str">
        <f ca="1">IF(A89="","",INDEX('Kaynak Veri'!$C$2:$C$61,MATCH(A89,'Kaynak Veri'!$A$2:$A$61,1)))</f>
        <v/>
      </c>
      <c r="E89" s="13" t="str">
        <f ca="1">IF(OR(C89="",D89=""),"",'Faiz Hesaplanan'!$B$2*D89/100*C89/365)</f>
        <v/>
      </c>
      <c r="F89" s="7"/>
    </row>
    <row r="90" spans="1:6">
      <c r="A90" s="11" t="str">
        <f ca="1">IF(OR(B89="",B89&gt;='Faiz Hesaplanan'!$B$4),"",B89+1)</f>
        <v/>
      </c>
      <c r="B90" s="11" t="str">
        <f ca="1">IF(A90="","",MIN('Faiz Hesaplanan'!$B$4,INDEX('Kaynak Veri'!$F$2:$F$61,MATCH(A90,'Kaynak Veri'!$A$2:$A$61,1))))</f>
        <v/>
      </c>
      <c r="C90" s="12" t="str">
        <f ca="1">IF(OR(A90="",B90=""),"",B90-A90+1-IF(B90='Faiz Hesaplanan'!$B$4,1,0)-IF(AND(A90&lt;=60,B90&gt;=60),1,0))</f>
        <v/>
      </c>
      <c r="D90" s="28" t="str">
        <f ca="1">IF(A90="","",INDEX('Kaynak Veri'!$C$2:$C$61,MATCH(A90,'Kaynak Veri'!$A$2:$A$61,1)))</f>
        <v/>
      </c>
      <c r="E90" s="13" t="str">
        <f ca="1">IF(OR(C90="",D90=""),"",'Faiz Hesaplanan'!$B$2*D90/100*C90/365)</f>
        <v/>
      </c>
      <c r="F90" s="7"/>
    </row>
    <row r="91" spans="1:6">
      <c r="A91" s="11" t="str">
        <f ca="1">IF(OR(B90="",B90&gt;='Faiz Hesaplanan'!$B$4),"",B90+1)</f>
        <v/>
      </c>
      <c r="B91" s="11" t="str">
        <f ca="1">IF(A91="","",MIN('Faiz Hesaplanan'!$B$4,INDEX('Kaynak Veri'!$F$2:$F$61,MATCH(A91,'Kaynak Veri'!$A$2:$A$61,1))))</f>
        <v/>
      </c>
      <c r="C91" s="12" t="str">
        <f ca="1">IF(OR(A91="",B91=""),"",B91-A91+1-IF(B91='Faiz Hesaplanan'!$B$4,1,0)-IF(AND(A91&lt;=60,B91&gt;=60),1,0))</f>
        <v/>
      </c>
      <c r="D91" s="28" t="str">
        <f ca="1">IF(A91="","",INDEX('Kaynak Veri'!$C$2:$C$61,MATCH(A91,'Kaynak Veri'!$A$2:$A$61,1)))</f>
        <v/>
      </c>
      <c r="E91" s="13" t="str">
        <f ca="1">IF(OR(C91="",D91=""),"",'Faiz Hesaplanan'!$B$2*D91/100*C91/365)</f>
        <v/>
      </c>
      <c r="F91" s="7"/>
    </row>
    <row r="92" spans="1:6">
      <c r="A92" s="11" t="str">
        <f ca="1">IF(OR(B91="",B91&gt;='Faiz Hesaplanan'!$B$4),"",B91+1)</f>
        <v/>
      </c>
      <c r="B92" s="11" t="str">
        <f ca="1">IF(A92="","",MIN('Faiz Hesaplanan'!$B$4,INDEX('Kaynak Veri'!$F$2:$F$61,MATCH(A92,'Kaynak Veri'!$A$2:$A$61,1))))</f>
        <v/>
      </c>
      <c r="C92" s="12" t="str">
        <f ca="1">IF(OR(A92="",B92=""),"",B92-A92+1-IF(B92='Faiz Hesaplanan'!$B$4,1,0)-IF(AND(A92&lt;=60,B92&gt;=60),1,0))</f>
        <v/>
      </c>
      <c r="D92" s="28" t="str">
        <f ca="1">IF(A92="","",INDEX('Kaynak Veri'!$C$2:$C$61,MATCH(A92,'Kaynak Veri'!$A$2:$A$61,1)))</f>
        <v/>
      </c>
      <c r="E92" s="13" t="str">
        <f ca="1">IF(OR(C92="",D92=""),"",'Faiz Hesaplanan'!$B$2*D92/100*C92/365)</f>
        <v/>
      </c>
      <c r="F92" s="7"/>
    </row>
    <row r="93" spans="1:6">
      <c r="A93" s="11" t="str">
        <f ca="1">IF(OR(B92="",B92&gt;='Faiz Hesaplanan'!$B$4),"",B92+1)</f>
        <v/>
      </c>
      <c r="B93" s="11" t="str">
        <f ca="1">IF(A93="","",MIN('Faiz Hesaplanan'!$B$4,INDEX('Kaynak Veri'!$F$2:$F$61,MATCH(A93,'Kaynak Veri'!$A$2:$A$61,1))))</f>
        <v/>
      </c>
      <c r="C93" s="12" t="str">
        <f ca="1">IF(OR(A93="",B93=""),"",B93-A93+1-IF(B93='Faiz Hesaplanan'!$B$4,1,0)-IF(AND(A93&lt;=60,B93&gt;=60),1,0))</f>
        <v/>
      </c>
      <c r="D93" s="28" t="str">
        <f ca="1">IF(A93="","",INDEX('Kaynak Veri'!$C$2:$C$61,MATCH(A93,'Kaynak Veri'!$A$2:$A$61,1)))</f>
        <v/>
      </c>
      <c r="E93" s="13" t="str">
        <f ca="1">IF(OR(C93="",D93=""),"",'Faiz Hesaplanan'!$B$2*D93/100*C93/365)</f>
        <v/>
      </c>
      <c r="F93" s="7"/>
    </row>
    <row r="94" spans="1:6">
      <c r="A94" s="11" t="str">
        <f ca="1">IF(OR(B93="",B93&gt;='Faiz Hesaplanan'!$B$4),"",B93+1)</f>
        <v/>
      </c>
      <c r="B94" s="11" t="str">
        <f ca="1">IF(A94="","",MIN('Faiz Hesaplanan'!$B$4,INDEX('Kaynak Veri'!$F$2:$F$61,MATCH(A94,'Kaynak Veri'!$A$2:$A$61,1))))</f>
        <v/>
      </c>
      <c r="C94" s="12" t="str">
        <f ca="1">IF(OR(A94="",B94=""),"",B94-A94+1-IF(B94='Faiz Hesaplanan'!$B$4,1,0)-IF(AND(A94&lt;=60,B94&gt;=60),1,0))</f>
        <v/>
      </c>
      <c r="D94" s="28" t="str">
        <f ca="1">IF(A94="","",INDEX('Kaynak Veri'!$C$2:$C$61,MATCH(A94,'Kaynak Veri'!$A$2:$A$61,1)))</f>
        <v/>
      </c>
      <c r="E94" s="13" t="str">
        <f ca="1">IF(OR(C94="",D94=""),"",'Faiz Hesaplanan'!$B$2*D94/100*C94/365)</f>
        <v/>
      </c>
      <c r="F94" s="7"/>
    </row>
    <row r="95" spans="1:6">
      <c r="A95" s="11" t="str">
        <f ca="1">IF(OR(B94="",B94&gt;='Faiz Hesaplanan'!$B$4),"",B94+1)</f>
        <v/>
      </c>
      <c r="B95" s="11" t="str">
        <f ca="1">IF(A95="","",MIN('Faiz Hesaplanan'!$B$4,INDEX('Kaynak Veri'!$F$2:$F$61,MATCH(A95,'Kaynak Veri'!$A$2:$A$61,1))))</f>
        <v/>
      </c>
      <c r="C95" s="12" t="str">
        <f ca="1">IF(OR(A95="",B95=""),"",B95-A95+1-IF(B95='Faiz Hesaplanan'!$B$4,1,0)-IF(AND(A95&lt;=60,B95&gt;=60),1,0))</f>
        <v/>
      </c>
      <c r="D95" s="28" t="str">
        <f ca="1">IF(A95="","",INDEX('Kaynak Veri'!$C$2:$C$61,MATCH(A95,'Kaynak Veri'!$A$2:$A$61,1)))</f>
        <v/>
      </c>
      <c r="E95" s="13" t="str">
        <f ca="1">IF(OR(C95="",D95=""),"",'Faiz Hesaplanan'!$B$2*D95/100*C95/365)</f>
        <v/>
      </c>
      <c r="F95" s="7"/>
    </row>
    <row r="96" spans="1:6">
      <c r="A96" s="11" t="str">
        <f ca="1">IF(OR(B95="",B95&gt;='Faiz Hesaplanan'!$B$4),"",B95+1)</f>
        <v/>
      </c>
      <c r="B96" s="11" t="str">
        <f ca="1">IF(A96="","",MIN('Faiz Hesaplanan'!$B$4,INDEX('Kaynak Veri'!$F$2:$F$61,MATCH(A96,'Kaynak Veri'!$A$2:$A$61,1))))</f>
        <v/>
      </c>
      <c r="C96" s="12" t="str">
        <f ca="1">IF(OR(A96="",B96=""),"",B96-A96+1-IF(B96='Faiz Hesaplanan'!$B$4,1,0)-IF(AND(A96&lt;=60,B96&gt;=60),1,0))</f>
        <v/>
      </c>
      <c r="D96" s="28" t="str">
        <f ca="1">IF(A96="","",INDEX('Kaynak Veri'!$C$2:$C$61,MATCH(A96,'Kaynak Veri'!$A$2:$A$61,1)))</f>
        <v/>
      </c>
      <c r="E96" s="13" t="str">
        <f ca="1">IF(OR(C96="",D96=""),"",'Faiz Hesaplanan'!$B$2*D96/100*C96/365)</f>
        <v/>
      </c>
      <c r="F96" s="7"/>
    </row>
    <row r="97" spans="1:6">
      <c r="A97" s="11" t="str">
        <f ca="1">IF(OR(B96="",B96&gt;='Faiz Hesaplanan'!$B$4),"",B96+1)</f>
        <v/>
      </c>
      <c r="B97" s="11" t="str">
        <f ca="1">IF(A97="","",MIN('Faiz Hesaplanan'!$B$4,INDEX('Kaynak Veri'!$F$2:$F$61,MATCH(A97,'Kaynak Veri'!$A$2:$A$61,1))))</f>
        <v/>
      </c>
      <c r="C97" s="12" t="str">
        <f ca="1">IF(OR(A97="",B97=""),"",B97-A97+1-IF(B97='Faiz Hesaplanan'!$B$4,1,0)-IF(AND(A97&lt;=60,B97&gt;=60),1,0))</f>
        <v/>
      </c>
      <c r="D97" s="28" t="str">
        <f ca="1">IF(A97="","",INDEX('Kaynak Veri'!$C$2:$C$61,MATCH(A97,'Kaynak Veri'!$A$2:$A$61,1)))</f>
        <v/>
      </c>
      <c r="E97" s="13" t="str">
        <f ca="1">IF(OR(C97="",D97=""),"",'Faiz Hesaplanan'!$B$2*D97/100*C97/365)</f>
        <v/>
      </c>
      <c r="F97" s="7"/>
    </row>
    <row r="98" spans="1:6">
      <c r="A98" s="11" t="str">
        <f ca="1">IF(OR(B97="",B97&gt;='Faiz Hesaplanan'!$B$4),"",B97+1)</f>
        <v/>
      </c>
      <c r="B98" s="11" t="str">
        <f ca="1">IF(A98="","",MIN('Faiz Hesaplanan'!$B$4,INDEX('Kaynak Veri'!$F$2:$F$61,MATCH(A98,'Kaynak Veri'!$A$2:$A$61,1))))</f>
        <v/>
      </c>
      <c r="C98" s="12" t="str">
        <f ca="1">IF(OR(A98="",B98=""),"",B98-A98+1-IF(B98='Faiz Hesaplanan'!$B$4,1,0)-IF(AND(A98&lt;=60,B98&gt;=60),1,0))</f>
        <v/>
      </c>
      <c r="D98" s="28" t="str">
        <f ca="1">IF(A98="","",INDEX('Kaynak Veri'!$C$2:$C$61,MATCH(A98,'Kaynak Veri'!$A$2:$A$61,1)))</f>
        <v/>
      </c>
      <c r="E98" s="13" t="str">
        <f ca="1">IF(OR(C98="",D98=""),"",'Faiz Hesaplanan'!$B$2*D98/100*C98/365)</f>
        <v/>
      </c>
      <c r="F98" s="7"/>
    </row>
    <row r="99" spans="1:6">
      <c r="A99" s="11" t="str">
        <f ca="1">IF(OR(B98="",B98&gt;='Faiz Hesaplanan'!$B$4),"",B98+1)</f>
        <v/>
      </c>
      <c r="B99" s="11" t="str">
        <f ca="1">IF(A99="","",MIN('Faiz Hesaplanan'!$B$4,INDEX('Kaynak Veri'!$F$2:$F$61,MATCH(A99,'Kaynak Veri'!$A$2:$A$61,1))))</f>
        <v/>
      </c>
      <c r="C99" s="12" t="str">
        <f ca="1">IF(OR(A99="",B99=""),"",B99-A99+1-IF(B99='Faiz Hesaplanan'!$B$4,1,0)-IF(AND(A99&lt;=60,B99&gt;=60),1,0))</f>
        <v/>
      </c>
      <c r="D99" s="28" t="str">
        <f ca="1">IF(A99="","",INDEX('Kaynak Veri'!$C$2:$C$61,MATCH(A99,'Kaynak Veri'!$A$2:$A$61,1)))</f>
        <v/>
      </c>
      <c r="E99" s="13" t="str">
        <f ca="1">IF(OR(C99="",D99=""),"",'Faiz Hesaplanan'!$B$2*D99/100*C99/365)</f>
        <v/>
      </c>
      <c r="F99" s="7"/>
    </row>
    <row r="100" spans="1:6">
      <c r="A100" s="11" t="str">
        <f ca="1">IF(OR(B99="",B99&gt;='Faiz Hesaplanan'!$B$4),"",B99+1)</f>
        <v/>
      </c>
      <c r="B100" s="11" t="str">
        <f ca="1">IF(A100="","",MIN('Faiz Hesaplanan'!$B$4,INDEX('Kaynak Veri'!$F$2:$F$61,MATCH(A100,'Kaynak Veri'!$A$2:$A$61,1))))</f>
        <v/>
      </c>
      <c r="C100" s="12" t="str">
        <f ca="1">IF(OR(A100="",B100=""),"",B100-A100+1-IF(B100='Faiz Hesaplanan'!$B$4,1,0)-IF(AND(A100&lt;=60,B100&gt;=60),1,0))</f>
        <v/>
      </c>
      <c r="D100" s="28" t="str">
        <f ca="1">IF(A100="","",INDEX('Kaynak Veri'!$C$2:$C$61,MATCH(A100,'Kaynak Veri'!$A$2:$A$61,1)))</f>
        <v/>
      </c>
      <c r="E100" s="13" t="str">
        <f ca="1">IF(OR(C100="",D100=""),"",'Faiz Hesaplanan'!$B$2*D100/100*C100/365)</f>
        <v/>
      </c>
      <c r="F100" s="7"/>
    </row>
    <row r="101" spans="1:6">
      <c r="A101" s="11" t="str">
        <f ca="1">IF(OR(B100="",B100&gt;='Faiz Hesaplanan'!$B$4),"",B100+1)</f>
        <v/>
      </c>
      <c r="B101" s="11" t="str">
        <f ca="1">IF(A101="","",MIN('Faiz Hesaplanan'!$B$4,INDEX('Kaynak Veri'!$F$2:$F$61,MATCH(A101,'Kaynak Veri'!$A$2:$A$61,1))))</f>
        <v/>
      </c>
      <c r="C101" s="12" t="str">
        <f ca="1">IF(OR(A101="",B101=""),"",B101-A101+1-IF(B101='Faiz Hesaplanan'!$B$4,1,0)-IF(AND(A101&lt;=60,B101&gt;=60),1,0))</f>
        <v/>
      </c>
      <c r="D101" s="28" t="str">
        <f ca="1">IF(A101="","",INDEX('Kaynak Veri'!$C$2:$C$61,MATCH(A101,'Kaynak Veri'!$A$2:$A$61,1)))</f>
        <v/>
      </c>
      <c r="E101" s="13" t="str">
        <f ca="1">IF(OR(C101="",D101=""),"",'Faiz Hesaplanan'!$B$2*D101/100*C101/365)</f>
        <v/>
      </c>
    </row>
    <row r="102" spans="1:6">
      <c r="A102" s="11" t="str">
        <f ca="1">IF(OR(B101="",B101&gt;='Faiz Hesaplanan'!$B$4),"",B101+1)</f>
        <v/>
      </c>
      <c r="B102" s="11" t="str">
        <f ca="1">IF(A102="","",MIN('Faiz Hesaplanan'!$B$4,INDEX('Kaynak Veri'!$F$2:$F$61,MATCH(A102,'Kaynak Veri'!$A$2:$A$61,1))))</f>
        <v/>
      </c>
      <c r="C102" s="12" t="str">
        <f ca="1">IF(OR(A102="",B102=""),"",B102-A102+1-IF(B102='Faiz Hesaplanan'!$B$4,1,0)-IF(AND(A102&lt;=60,B102&gt;=60),1,0))</f>
        <v/>
      </c>
      <c r="D102" s="28" t="str">
        <f ca="1">IF(A102="","",INDEX('Kaynak Veri'!$C$2:$C$61,MATCH(A102,'Kaynak Veri'!$A$2:$A$61,1)))</f>
        <v/>
      </c>
      <c r="E102" s="13" t="str">
        <f ca="1">IF(OR(C102="",D102=""),"",'Faiz Hesaplanan'!$B$2*D102/100*C102/365)</f>
        <v/>
      </c>
    </row>
    <row r="103" spans="1:6">
      <c r="A103" s="11" t="str">
        <f ca="1">IF(OR(B102="",B102&gt;='Faiz Hesaplanan'!$B$4),"",B102+1)</f>
        <v/>
      </c>
      <c r="B103" s="11" t="str">
        <f ca="1">IF(A103="","",MIN('Faiz Hesaplanan'!$B$4,INDEX('Kaynak Veri'!$F$2:$F$61,MATCH(A103,'Kaynak Veri'!$A$2:$A$61,1))))</f>
        <v/>
      </c>
      <c r="C103" s="12" t="str">
        <f ca="1">IF(OR(A103="",B103=""),"",B103-A103+1-IF(B103='Faiz Hesaplanan'!$B$4,1,0)-IF(AND(A103&lt;=60,B103&gt;=60),1,0))</f>
        <v/>
      </c>
      <c r="D103" s="28" t="str">
        <f ca="1">IF(A103="","",INDEX('Kaynak Veri'!$C$2:$C$61,MATCH(A103,'Kaynak Veri'!$A$2:$A$61,1)))</f>
        <v/>
      </c>
      <c r="E103" s="13" t="str">
        <f ca="1">IF(OR(C103="",D103=""),"",'Faiz Hesaplanan'!$B$2*D103/100*C103/365)</f>
        <v/>
      </c>
    </row>
  </sheetData>
  <sheetProtection algorithmName="SHA-512" hashValue="d1S5m94Qy1ub8nP9xSGSmG2SawmNFlTf4gGcPlSj4DE5wISrDMwud0Bx3rzxI9X1Is901lESvw6pa8QJXIb8TQ==" saltValue="Tp+ROrnhCFt8m+trpBoUpQ==" spinCount="100000" sheet="1" objects="1" scenarios="1"/>
  <mergeCells count="2">
    <mergeCell ref="A1:E1"/>
    <mergeCell ref="A3:B3"/>
  </mergeCells>
  <conditionalFormatting sqref="A1:E103">
    <cfRule type="expression" dxfId="1" priority="1">
      <formula>A1&lt;&gt;""</formula>
    </cfRule>
  </conditionalFormatting>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0AA336-9511-49E7-A6F5-977A2D3A3DB9}">
  <dimension ref="A1:E38"/>
  <sheetViews>
    <sheetView showGridLines="0" workbookViewId="0">
      <selection sqref="A1:D2"/>
    </sheetView>
  </sheetViews>
  <sheetFormatPr defaultRowHeight="13.8"/>
  <cols>
    <col min="1" max="4" width="14.69921875" style="1" customWidth="1"/>
    <col min="5" max="5" width="0" style="1" hidden="1" customWidth="1"/>
    <col min="6" max="16384" width="8.796875" style="1"/>
  </cols>
  <sheetData>
    <row r="1" spans="1:5">
      <c r="A1" s="34" t="s">
        <v>37</v>
      </c>
      <c r="B1" s="34"/>
      <c r="C1" s="34"/>
      <c r="D1" s="34"/>
    </row>
    <row r="2" spans="1:5">
      <c r="A2" s="34"/>
      <c r="B2" s="34"/>
      <c r="C2" s="34"/>
      <c r="D2" s="34"/>
    </row>
    <row r="3" spans="1:5" ht="27.6" customHeight="1">
      <c r="A3" s="36" t="str">
        <f>'Faiz Hesaplanan'!A2</f>
        <v>Ana para:</v>
      </c>
      <c r="B3" s="36"/>
      <c r="C3" s="38">
        <f>'Faiz Hesaplanan'!B2</f>
        <v>100000</v>
      </c>
      <c r="D3" s="38"/>
    </row>
    <row r="4" spans="1:5" ht="27.6" customHeight="1">
      <c r="A4" s="36" t="str">
        <f>'Faiz Hesaplanan'!A3</f>
        <v>Faiz Başlangıç Tarihi</v>
      </c>
      <c r="B4" s="36"/>
      <c r="C4" s="37">
        <f>'Faiz Hesaplanan'!B3</f>
        <v>1</v>
      </c>
      <c r="D4" s="37"/>
    </row>
    <row r="5" spans="1:5" ht="27.6" customHeight="1">
      <c r="A5" s="36" t="s">
        <v>38</v>
      </c>
      <c r="B5" s="36"/>
      <c r="C5" s="37">
        <f ca="1">'Faiz Hesaplanan'!B4</f>
        <v>46265</v>
      </c>
      <c r="D5" s="37"/>
    </row>
    <row r="6" spans="1:5" ht="51" customHeight="1">
      <c r="A6" s="35" t="s">
        <v>39</v>
      </c>
      <c r="B6" s="35"/>
      <c r="C6" s="35"/>
      <c r="D6" s="35"/>
    </row>
    <row r="7" spans="1:5" ht="27.6">
      <c r="A7" s="21" t="s">
        <v>27</v>
      </c>
      <c r="B7" s="21" t="s">
        <v>40</v>
      </c>
      <c r="C7" s="21" t="s">
        <v>41</v>
      </c>
      <c r="D7" s="21" t="s">
        <v>42</v>
      </c>
    </row>
    <row r="8" spans="1:5">
      <c r="A8" s="17">
        <f ca="1">IF(OR($C$3="",$C$4="",$C$5=""),"",$C$5)</f>
        <v>46265</v>
      </c>
      <c r="B8" s="23">
        <f>$C$3</f>
        <v>100000</v>
      </c>
      <c r="C8" s="23">
        <f ca="1">IF(OR($C$3="",$C$4="",$C$5=""),"",IFERROR('Faiz Hesaplanan'!$B$5,""))</f>
        <v>1452295.8904109586</v>
      </c>
      <c r="D8" s="22">
        <f ca="1">IF(OR(C8="",$C$3="",$C$4="",$C$5=""),"",$C$3+C8)</f>
        <v>1552295.8904109586</v>
      </c>
      <c r="E8" s="1" cm="1">
        <f t="array" aca="1" ref="E8" ca="1">IF(OR(A8="",$C$3="",$C$4="",$C$5=""),"",IFERROR(LOOKUP(2,1/(('Kaynak Veri'!$A$2:$A$61&lt;=A8-1)*('Kaynak Veri'!$C$2:$C$61&lt;&gt;"")),'Kaynak Veri'!$C$2:$C$61),""))</f>
        <v>31</v>
      </c>
    </row>
    <row r="9" spans="1:5">
      <c r="A9" s="17">
        <f ca="1">IF(A8="","",A8+1)</f>
        <v>46266</v>
      </c>
      <c r="B9" s="23">
        <f>$C$3</f>
        <v>100000</v>
      </c>
      <c r="C9" s="22">
        <f ca="1">IF(OR(A9="",C8="",E9="",$C$3="",$C$4="",$C$5=""),"",C8+$C$3*E9/100/365*IF(A8=60,0,1))</f>
        <v>1452380.8219178079</v>
      </c>
      <c r="D9" s="22">
        <f ca="1">IF(OR(C9="",$C$3="",$C$4="",$C$5=""),"",$C$3+C9)</f>
        <v>1552380.8219178079</v>
      </c>
      <c r="E9" s="1" cm="1">
        <f t="array" aca="1" ref="E9" ca="1">IF(OR(A9="",$C$3="",$C$4="",$C$5=""),"",IFERROR(LOOKUP(2,1/(('Kaynak Veri'!$A$2:$A$61&lt;=A9-1)*('Kaynak Veri'!$C$2:$C$61&lt;&gt;"")),'Kaynak Veri'!$C$2:$C$61),""))</f>
        <v>31</v>
      </c>
    </row>
    <row r="10" spans="1:5">
      <c r="A10" s="17">
        <f t="shared" ref="A10:A38" ca="1" si="0">IF(A9="","",A9+1)</f>
        <v>46267</v>
      </c>
      <c r="B10" s="23">
        <f t="shared" ref="B10:B38" si="1">$C$3</f>
        <v>100000</v>
      </c>
      <c r="C10" s="22">
        <f t="shared" ref="C10:C38" ca="1" si="2">IF(OR(A10="",C9="",E10="",$C$3="",$C$4="",$C$5=""),"",C9+$C$3*E10/100/365*IF(A9=60,0,1))</f>
        <v>1452465.7534246573</v>
      </c>
      <c r="D10" s="22">
        <f t="shared" ref="D10:D38" ca="1" si="3">IF(OR(C10="",$C$3="",$C$4="",$C$5=""),"",$C$3+C10)</f>
        <v>1552465.7534246573</v>
      </c>
      <c r="E10" s="1" cm="1">
        <f t="array" aca="1" ref="E10" ca="1">IF(OR(A10="",$C$3="",$C$4="",$C$5=""),"",IFERROR(LOOKUP(2,1/(('Kaynak Veri'!$A$2:$A$61&lt;=A10-1)*('Kaynak Veri'!$C$2:$C$61&lt;&gt;"")),'Kaynak Veri'!$C$2:$C$61),""))</f>
        <v>31</v>
      </c>
    </row>
    <row r="11" spans="1:5">
      <c r="A11" s="17">
        <f t="shared" ca="1" si="0"/>
        <v>46268</v>
      </c>
      <c r="B11" s="23">
        <f t="shared" si="1"/>
        <v>100000</v>
      </c>
      <c r="C11" s="22">
        <f t="shared" ca="1" si="2"/>
        <v>1452550.6849315066</v>
      </c>
      <c r="D11" s="22">
        <f t="shared" ca="1" si="3"/>
        <v>1552550.6849315066</v>
      </c>
      <c r="E11" s="1" cm="1">
        <f t="array" aca="1" ref="E11" ca="1">IF(OR(A11="",$C$3="",$C$4="",$C$5=""),"",IFERROR(LOOKUP(2,1/(('Kaynak Veri'!$A$2:$A$61&lt;=A11-1)*('Kaynak Veri'!$C$2:$C$61&lt;&gt;"")),'Kaynak Veri'!$C$2:$C$61),""))</f>
        <v>31</v>
      </c>
    </row>
    <row r="12" spans="1:5">
      <c r="A12" s="17">
        <f t="shared" ca="1" si="0"/>
        <v>46269</v>
      </c>
      <c r="B12" s="23">
        <f t="shared" si="1"/>
        <v>100000</v>
      </c>
      <c r="C12" s="22">
        <f t="shared" ca="1" si="2"/>
        <v>1452635.616438356</v>
      </c>
      <c r="D12" s="22">
        <f t="shared" ca="1" si="3"/>
        <v>1552635.616438356</v>
      </c>
      <c r="E12" s="1" cm="1">
        <f t="array" aca="1" ref="E12" ca="1">IF(OR(A12="",$C$3="",$C$4="",$C$5=""),"",IFERROR(LOOKUP(2,1/(('Kaynak Veri'!$A$2:$A$61&lt;=A12-1)*('Kaynak Veri'!$C$2:$C$61&lt;&gt;"")),'Kaynak Veri'!$C$2:$C$61),""))</f>
        <v>31</v>
      </c>
    </row>
    <row r="13" spans="1:5">
      <c r="A13" s="17">
        <f t="shared" ca="1" si="0"/>
        <v>46270</v>
      </c>
      <c r="B13" s="23">
        <f t="shared" si="1"/>
        <v>100000</v>
      </c>
      <c r="C13" s="22">
        <f t="shared" ca="1" si="2"/>
        <v>1452720.5479452054</v>
      </c>
      <c r="D13" s="22">
        <f t="shared" ca="1" si="3"/>
        <v>1552720.5479452054</v>
      </c>
      <c r="E13" s="1" cm="1">
        <f t="array" aca="1" ref="E13" ca="1">IF(OR(A13="",$C$3="",$C$4="",$C$5=""),"",IFERROR(LOOKUP(2,1/(('Kaynak Veri'!$A$2:$A$61&lt;=A13-1)*('Kaynak Veri'!$C$2:$C$61&lt;&gt;"")),'Kaynak Veri'!$C$2:$C$61),""))</f>
        <v>31</v>
      </c>
    </row>
    <row r="14" spans="1:5">
      <c r="A14" s="17">
        <f t="shared" ca="1" si="0"/>
        <v>46271</v>
      </c>
      <c r="B14" s="23">
        <f t="shared" si="1"/>
        <v>100000</v>
      </c>
      <c r="C14" s="22">
        <f t="shared" ca="1" si="2"/>
        <v>1452805.4794520547</v>
      </c>
      <c r="D14" s="22">
        <f t="shared" ca="1" si="3"/>
        <v>1552805.4794520547</v>
      </c>
      <c r="E14" s="1" cm="1">
        <f t="array" aca="1" ref="E14" ca="1">IF(OR(A14="",$C$3="",$C$4="",$C$5=""),"",IFERROR(LOOKUP(2,1/(('Kaynak Veri'!$A$2:$A$61&lt;=A14-1)*('Kaynak Veri'!$C$2:$C$61&lt;&gt;"")),'Kaynak Veri'!$C$2:$C$61),""))</f>
        <v>31</v>
      </c>
    </row>
    <row r="15" spans="1:5">
      <c r="A15" s="17">
        <f t="shared" ca="1" si="0"/>
        <v>46272</v>
      </c>
      <c r="B15" s="23">
        <f t="shared" si="1"/>
        <v>100000</v>
      </c>
      <c r="C15" s="22">
        <f t="shared" ca="1" si="2"/>
        <v>1452890.4109589041</v>
      </c>
      <c r="D15" s="22">
        <f t="shared" ca="1" si="3"/>
        <v>1552890.4109589041</v>
      </c>
      <c r="E15" s="1" cm="1">
        <f t="array" aca="1" ref="E15" ca="1">IF(OR(A15="",$C$3="",$C$4="",$C$5=""),"",IFERROR(LOOKUP(2,1/(('Kaynak Veri'!$A$2:$A$61&lt;=A15-1)*('Kaynak Veri'!$C$2:$C$61&lt;&gt;"")),'Kaynak Veri'!$C$2:$C$61),""))</f>
        <v>31</v>
      </c>
    </row>
    <row r="16" spans="1:5">
      <c r="A16" s="17">
        <f t="shared" ca="1" si="0"/>
        <v>46273</v>
      </c>
      <c r="B16" s="23">
        <f t="shared" si="1"/>
        <v>100000</v>
      </c>
      <c r="C16" s="22">
        <f t="shared" ca="1" si="2"/>
        <v>1452975.3424657534</v>
      </c>
      <c r="D16" s="22">
        <f t="shared" ca="1" si="3"/>
        <v>1552975.3424657534</v>
      </c>
      <c r="E16" s="1" cm="1">
        <f t="array" aca="1" ref="E16" ca="1">IF(OR(A16="",$C$3="",$C$4="",$C$5=""),"",IFERROR(LOOKUP(2,1/(('Kaynak Veri'!$A$2:$A$61&lt;=A16-1)*('Kaynak Veri'!$C$2:$C$61&lt;&gt;"")),'Kaynak Veri'!$C$2:$C$61),""))</f>
        <v>31</v>
      </c>
    </row>
    <row r="17" spans="1:5">
      <c r="A17" s="17">
        <f t="shared" ca="1" si="0"/>
        <v>46274</v>
      </c>
      <c r="B17" s="23">
        <f t="shared" si="1"/>
        <v>100000</v>
      </c>
      <c r="C17" s="22">
        <f t="shared" ca="1" si="2"/>
        <v>1453060.2739726028</v>
      </c>
      <c r="D17" s="22">
        <f t="shared" ca="1" si="3"/>
        <v>1553060.2739726028</v>
      </c>
      <c r="E17" s="1" cm="1">
        <f t="array" aca="1" ref="E17" ca="1">IF(OR(A17="",$C$3="",$C$4="",$C$5=""),"",IFERROR(LOOKUP(2,1/(('Kaynak Veri'!$A$2:$A$61&lt;=A17-1)*('Kaynak Veri'!$C$2:$C$61&lt;&gt;"")),'Kaynak Veri'!$C$2:$C$61),""))</f>
        <v>31</v>
      </c>
    </row>
    <row r="18" spans="1:5">
      <c r="A18" s="17">
        <f t="shared" ca="1" si="0"/>
        <v>46275</v>
      </c>
      <c r="B18" s="23">
        <f t="shared" si="1"/>
        <v>100000</v>
      </c>
      <c r="C18" s="22">
        <f t="shared" ca="1" si="2"/>
        <v>1453145.2054794522</v>
      </c>
      <c r="D18" s="22">
        <f t="shared" ca="1" si="3"/>
        <v>1553145.2054794522</v>
      </c>
      <c r="E18" s="1" cm="1">
        <f t="array" aca="1" ref="E18" ca="1">IF(OR(A18="",$C$3="",$C$4="",$C$5=""),"",IFERROR(LOOKUP(2,1/(('Kaynak Veri'!$A$2:$A$61&lt;=A18-1)*('Kaynak Veri'!$C$2:$C$61&lt;&gt;"")),'Kaynak Veri'!$C$2:$C$61),""))</f>
        <v>31</v>
      </c>
    </row>
    <row r="19" spans="1:5">
      <c r="A19" s="17">
        <f t="shared" ca="1" si="0"/>
        <v>46276</v>
      </c>
      <c r="B19" s="23">
        <f t="shared" si="1"/>
        <v>100000</v>
      </c>
      <c r="C19" s="22">
        <f t="shared" ca="1" si="2"/>
        <v>1453230.1369863015</v>
      </c>
      <c r="D19" s="22">
        <f t="shared" ca="1" si="3"/>
        <v>1553230.1369863015</v>
      </c>
      <c r="E19" s="1" cm="1">
        <f t="array" aca="1" ref="E19" ca="1">IF(OR(A19="",$C$3="",$C$4="",$C$5=""),"",IFERROR(LOOKUP(2,1/(('Kaynak Veri'!$A$2:$A$61&lt;=A19-1)*('Kaynak Veri'!$C$2:$C$61&lt;&gt;"")),'Kaynak Veri'!$C$2:$C$61),""))</f>
        <v>31</v>
      </c>
    </row>
    <row r="20" spans="1:5">
      <c r="A20" s="17">
        <f t="shared" ca="1" si="0"/>
        <v>46277</v>
      </c>
      <c r="B20" s="23">
        <f t="shared" si="1"/>
        <v>100000</v>
      </c>
      <c r="C20" s="22">
        <f t="shared" ca="1" si="2"/>
        <v>1453315.0684931509</v>
      </c>
      <c r="D20" s="22">
        <f t="shared" ca="1" si="3"/>
        <v>1553315.0684931509</v>
      </c>
      <c r="E20" s="1" cm="1">
        <f t="array" aca="1" ref="E20" ca="1">IF(OR(A20="",$C$3="",$C$4="",$C$5=""),"",IFERROR(LOOKUP(2,1/(('Kaynak Veri'!$A$2:$A$61&lt;=A20-1)*('Kaynak Veri'!$C$2:$C$61&lt;&gt;"")),'Kaynak Veri'!$C$2:$C$61),""))</f>
        <v>31</v>
      </c>
    </row>
    <row r="21" spans="1:5">
      <c r="A21" s="17">
        <f t="shared" ca="1" si="0"/>
        <v>46278</v>
      </c>
      <c r="B21" s="23">
        <f t="shared" si="1"/>
        <v>100000</v>
      </c>
      <c r="C21" s="22">
        <f t="shared" ca="1" si="2"/>
        <v>1453400.0000000002</v>
      </c>
      <c r="D21" s="22">
        <f t="shared" ca="1" si="3"/>
        <v>1553400.0000000002</v>
      </c>
      <c r="E21" s="1" cm="1">
        <f t="array" aca="1" ref="E21" ca="1">IF(OR(A21="",$C$3="",$C$4="",$C$5=""),"",IFERROR(LOOKUP(2,1/(('Kaynak Veri'!$A$2:$A$61&lt;=A21-1)*('Kaynak Veri'!$C$2:$C$61&lt;&gt;"")),'Kaynak Veri'!$C$2:$C$61),""))</f>
        <v>31</v>
      </c>
    </row>
    <row r="22" spans="1:5">
      <c r="A22" s="17">
        <f t="shared" ca="1" si="0"/>
        <v>46279</v>
      </c>
      <c r="B22" s="23">
        <f t="shared" si="1"/>
        <v>100000</v>
      </c>
      <c r="C22" s="22">
        <f t="shared" ca="1" si="2"/>
        <v>1453484.9315068496</v>
      </c>
      <c r="D22" s="22">
        <f t="shared" ca="1" si="3"/>
        <v>1553484.9315068496</v>
      </c>
      <c r="E22" s="1" cm="1">
        <f t="array" aca="1" ref="E22" ca="1">IF(OR(A22="",$C$3="",$C$4="",$C$5=""),"",IFERROR(LOOKUP(2,1/(('Kaynak Veri'!$A$2:$A$61&lt;=A22-1)*('Kaynak Veri'!$C$2:$C$61&lt;&gt;"")),'Kaynak Veri'!$C$2:$C$61),""))</f>
        <v>31</v>
      </c>
    </row>
    <row r="23" spans="1:5">
      <c r="A23" s="17">
        <f t="shared" ca="1" si="0"/>
        <v>46280</v>
      </c>
      <c r="B23" s="23">
        <f t="shared" si="1"/>
        <v>100000</v>
      </c>
      <c r="C23" s="22">
        <f t="shared" ca="1" si="2"/>
        <v>1453569.863013699</v>
      </c>
      <c r="D23" s="22">
        <f t="shared" ca="1" si="3"/>
        <v>1553569.863013699</v>
      </c>
      <c r="E23" s="1" cm="1">
        <f t="array" aca="1" ref="E23" ca="1">IF(OR(A23="",$C$3="",$C$4="",$C$5=""),"",IFERROR(LOOKUP(2,1/(('Kaynak Veri'!$A$2:$A$61&lt;=A23-1)*('Kaynak Veri'!$C$2:$C$61&lt;&gt;"")),'Kaynak Veri'!$C$2:$C$61),""))</f>
        <v>31</v>
      </c>
    </row>
    <row r="24" spans="1:5">
      <c r="A24" s="17">
        <f t="shared" ca="1" si="0"/>
        <v>46281</v>
      </c>
      <c r="B24" s="23">
        <f t="shared" si="1"/>
        <v>100000</v>
      </c>
      <c r="C24" s="22">
        <f t="shared" ca="1" si="2"/>
        <v>1453654.7945205483</v>
      </c>
      <c r="D24" s="22">
        <f t="shared" ca="1" si="3"/>
        <v>1553654.7945205483</v>
      </c>
      <c r="E24" s="1" cm="1">
        <f t="array" aca="1" ref="E24" ca="1">IF(OR(A24="",$C$3="",$C$4="",$C$5=""),"",IFERROR(LOOKUP(2,1/(('Kaynak Veri'!$A$2:$A$61&lt;=A24-1)*('Kaynak Veri'!$C$2:$C$61&lt;&gt;"")),'Kaynak Veri'!$C$2:$C$61),""))</f>
        <v>31</v>
      </c>
    </row>
    <row r="25" spans="1:5">
      <c r="A25" s="17">
        <f t="shared" ca="1" si="0"/>
        <v>46282</v>
      </c>
      <c r="B25" s="23">
        <f t="shared" si="1"/>
        <v>100000</v>
      </c>
      <c r="C25" s="22">
        <f t="shared" ca="1" si="2"/>
        <v>1453739.7260273977</v>
      </c>
      <c r="D25" s="22">
        <f t="shared" ca="1" si="3"/>
        <v>1553739.7260273977</v>
      </c>
      <c r="E25" s="1" cm="1">
        <f t="array" aca="1" ref="E25" ca="1">IF(OR(A25="",$C$3="",$C$4="",$C$5=""),"",IFERROR(LOOKUP(2,1/(('Kaynak Veri'!$A$2:$A$61&lt;=A25-1)*('Kaynak Veri'!$C$2:$C$61&lt;&gt;"")),'Kaynak Veri'!$C$2:$C$61),""))</f>
        <v>31</v>
      </c>
    </row>
    <row r="26" spans="1:5">
      <c r="A26" s="17">
        <f t="shared" ca="1" si="0"/>
        <v>46283</v>
      </c>
      <c r="B26" s="23">
        <f t="shared" si="1"/>
        <v>100000</v>
      </c>
      <c r="C26" s="22">
        <f t="shared" ca="1" si="2"/>
        <v>1453824.657534247</v>
      </c>
      <c r="D26" s="22">
        <f t="shared" ca="1" si="3"/>
        <v>1553824.657534247</v>
      </c>
      <c r="E26" s="1" cm="1">
        <f t="array" aca="1" ref="E26" ca="1">IF(OR(A26="",$C$3="",$C$4="",$C$5=""),"",IFERROR(LOOKUP(2,1/(('Kaynak Veri'!$A$2:$A$61&lt;=A26-1)*('Kaynak Veri'!$C$2:$C$61&lt;&gt;"")),'Kaynak Veri'!$C$2:$C$61),""))</f>
        <v>31</v>
      </c>
    </row>
    <row r="27" spans="1:5">
      <c r="A27" s="17">
        <f t="shared" ca="1" si="0"/>
        <v>46284</v>
      </c>
      <c r="B27" s="23">
        <f t="shared" si="1"/>
        <v>100000</v>
      </c>
      <c r="C27" s="22">
        <f t="shared" ca="1" si="2"/>
        <v>1453909.5890410964</v>
      </c>
      <c r="D27" s="22">
        <f t="shared" ca="1" si="3"/>
        <v>1553909.5890410964</v>
      </c>
      <c r="E27" s="1" cm="1">
        <f t="array" aca="1" ref="E27" ca="1">IF(OR(A27="",$C$3="",$C$4="",$C$5=""),"",IFERROR(LOOKUP(2,1/(('Kaynak Veri'!$A$2:$A$61&lt;=A27-1)*('Kaynak Veri'!$C$2:$C$61&lt;&gt;"")),'Kaynak Veri'!$C$2:$C$61),""))</f>
        <v>31</v>
      </c>
    </row>
    <row r="28" spans="1:5">
      <c r="A28" s="17">
        <f t="shared" ca="1" si="0"/>
        <v>46285</v>
      </c>
      <c r="B28" s="23">
        <f t="shared" si="1"/>
        <v>100000</v>
      </c>
      <c r="C28" s="22">
        <f t="shared" ca="1" si="2"/>
        <v>1453994.5205479458</v>
      </c>
      <c r="D28" s="22">
        <f t="shared" ca="1" si="3"/>
        <v>1553994.5205479458</v>
      </c>
      <c r="E28" s="1" cm="1">
        <f t="array" aca="1" ref="E28" ca="1">IF(OR(A28="",$C$3="",$C$4="",$C$5=""),"",IFERROR(LOOKUP(2,1/(('Kaynak Veri'!$A$2:$A$61&lt;=A28-1)*('Kaynak Veri'!$C$2:$C$61&lt;&gt;"")),'Kaynak Veri'!$C$2:$C$61),""))</f>
        <v>31</v>
      </c>
    </row>
    <row r="29" spans="1:5">
      <c r="A29" s="17">
        <f t="shared" ca="1" si="0"/>
        <v>46286</v>
      </c>
      <c r="B29" s="23">
        <f t="shared" si="1"/>
        <v>100000</v>
      </c>
      <c r="C29" s="22">
        <f t="shared" ca="1" si="2"/>
        <v>1454079.4520547951</v>
      </c>
      <c r="D29" s="22">
        <f t="shared" ca="1" si="3"/>
        <v>1554079.4520547951</v>
      </c>
      <c r="E29" s="1" cm="1">
        <f t="array" aca="1" ref="E29" ca="1">IF(OR(A29="",$C$3="",$C$4="",$C$5=""),"",IFERROR(LOOKUP(2,1/(('Kaynak Veri'!$A$2:$A$61&lt;=A29-1)*('Kaynak Veri'!$C$2:$C$61&lt;&gt;"")),'Kaynak Veri'!$C$2:$C$61),""))</f>
        <v>31</v>
      </c>
    </row>
    <row r="30" spans="1:5">
      <c r="A30" s="17">
        <f t="shared" ca="1" si="0"/>
        <v>46287</v>
      </c>
      <c r="B30" s="23">
        <f t="shared" si="1"/>
        <v>100000</v>
      </c>
      <c r="C30" s="22">
        <f t="shared" ca="1" si="2"/>
        <v>1454164.3835616445</v>
      </c>
      <c r="D30" s="22">
        <f t="shared" ca="1" si="3"/>
        <v>1554164.3835616445</v>
      </c>
      <c r="E30" s="1" cm="1">
        <f t="array" aca="1" ref="E30" ca="1">IF(OR(A30="",$C$3="",$C$4="",$C$5=""),"",IFERROR(LOOKUP(2,1/(('Kaynak Veri'!$A$2:$A$61&lt;=A30-1)*('Kaynak Veri'!$C$2:$C$61&lt;&gt;"")),'Kaynak Veri'!$C$2:$C$61),""))</f>
        <v>31</v>
      </c>
    </row>
    <row r="31" spans="1:5">
      <c r="A31" s="17">
        <f t="shared" ca="1" si="0"/>
        <v>46288</v>
      </c>
      <c r="B31" s="23">
        <f t="shared" si="1"/>
        <v>100000</v>
      </c>
      <c r="C31" s="22">
        <f t="shared" ca="1" si="2"/>
        <v>1454249.3150684938</v>
      </c>
      <c r="D31" s="22">
        <f t="shared" ca="1" si="3"/>
        <v>1554249.3150684938</v>
      </c>
      <c r="E31" s="1" cm="1">
        <f t="array" aca="1" ref="E31" ca="1">IF(OR(A31="",$C$3="",$C$4="",$C$5=""),"",IFERROR(LOOKUP(2,1/(('Kaynak Veri'!$A$2:$A$61&lt;=A31-1)*('Kaynak Veri'!$C$2:$C$61&lt;&gt;"")),'Kaynak Veri'!$C$2:$C$61),""))</f>
        <v>31</v>
      </c>
    </row>
    <row r="32" spans="1:5">
      <c r="A32" s="17">
        <f t="shared" ca="1" si="0"/>
        <v>46289</v>
      </c>
      <c r="B32" s="23">
        <f t="shared" si="1"/>
        <v>100000</v>
      </c>
      <c r="C32" s="22">
        <f t="shared" ca="1" si="2"/>
        <v>1454334.2465753432</v>
      </c>
      <c r="D32" s="22">
        <f t="shared" ca="1" si="3"/>
        <v>1554334.2465753432</v>
      </c>
      <c r="E32" s="1" cm="1">
        <f t="array" aca="1" ref="E32" ca="1">IF(OR(A32="",$C$3="",$C$4="",$C$5=""),"",IFERROR(LOOKUP(2,1/(('Kaynak Veri'!$A$2:$A$61&lt;=A32-1)*('Kaynak Veri'!$C$2:$C$61&lt;&gt;"")),'Kaynak Veri'!$C$2:$C$61),""))</f>
        <v>31</v>
      </c>
    </row>
    <row r="33" spans="1:5">
      <c r="A33" s="17">
        <f t="shared" ca="1" si="0"/>
        <v>46290</v>
      </c>
      <c r="B33" s="23">
        <f t="shared" si="1"/>
        <v>100000</v>
      </c>
      <c r="C33" s="22">
        <f t="shared" ca="1" si="2"/>
        <v>1454419.1780821925</v>
      </c>
      <c r="D33" s="22">
        <f t="shared" ca="1" si="3"/>
        <v>1554419.1780821925</v>
      </c>
      <c r="E33" s="1" cm="1">
        <f t="array" aca="1" ref="E33" ca="1">IF(OR(A33="",$C$3="",$C$4="",$C$5=""),"",IFERROR(LOOKUP(2,1/(('Kaynak Veri'!$A$2:$A$61&lt;=A33-1)*('Kaynak Veri'!$C$2:$C$61&lt;&gt;"")),'Kaynak Veri'!$C$2:$C$61),""))</f>
        <v>31</v>
      </c>
    </row>
    <row r="34" spans="1:5">
      <c r="A34" s="17">
        <f t="shared" ca="1" si="0"/>
        <v>46291</v>
      </c>
      <c r="B34" s="23">
        <f t="shared" si="1"/>
        <v>100000</v>
      </c>
      <c r="C34" s="22">
        <f t="shared" ca="1" si="2"/>
        <v>1454504.1095890419</v>
      </c>
      <c r="D34" s="22">
        <f t="shared" ca="1" si="3"/>
        <v>1554504.1095890419</v>
      </c>
      <c r="E34" s="1" cm="1">
        <f t="array" aca="1" ref="E34" ca="1">IF(OR(A34="",$C$3="",$C$4="",$C$5=""),"",IFERROR(LOOKUP(2,1/(('Kaynak Veri'!$A$2:$A$61&lt;=A34-1)*('Kaynak Veri'!$C$2:$C$61&lt;&gt;"")),'Kaynak Veri'!$C$2:$C$61),""))</f>
        <v>31</v>
      </c>
    </row>
    <row r="35" spans="1:5">
      <c r="A35" s="17">
        <f t="shared" ca="1" si="0"/>
        <v>46292</v>
      </c>
      <c r="B35" s="23">
        <f t="shared" si="1"/>
        <v>100000</v>
      </c>
      <c r="C35" s="22">
        <f t="shared" ca="1" si="2"/>
        <v>1454589.0410958913</v>
      </c>
      <c r="D35" s="22">
        <f t="shared" ca="1" si="3"/>
        <v>1554589.0410958913</v>
      </c>
      <c r="E35" s="1" cm="1">
        <f t="array" aca="1" ref="E35" ca="1">IF(OR(A35="",$C$3="",$C$4="",$C$5=""),"",IFERROR(LOOKUP(2,1/(('Kaynak Veri'!$A$2:$A$61&lt;=A35-1)*('Kaynak Veri'!$C$2:$C$61&lt;&gt;"")),'Kaynak Veri'!$C$2:$C$61),""))</f>
        <v>31</v>
      </c>
    </row>
    <row r="36" spans="1:5">
      <c r="A36" s="17">
        <f t="shared" ca="1" si="0"/>
        <v>46293</v>
      </c>
      <c r="B36" s="23">
        <f t="shared" si="1"/>
        <v>100000</v>
      </c>
      <c r="C36" s="22">
        <f t="shared" ca="1" si="2"/>
        <v>1454673.9726027406</v>
      </c>
      <c r="D36" s="22">
        <f t="shared" ca="1" si="3"/>
        <v>1554673.9726027406</v>
      </c>
      <c r="E36" s="1" cm="1">
        <f t="array" aca="1" ref="E36" ca="1">IF(OR(A36="",$C$3="",$C$4="",$C$5=""),"",IFERROR(LOOKUP(2,1/(('Kaynak Veri'!$A$2:$A$61&lt;=A36-1)*('Kaynak Veri'!$C$2:$C$61&lt;&gt;"")),'Kaynak Veri'!$C$2:$C$61),""))</f>
        <v>31</v>
      </c>
    </row>
    <row r="37" spans="1:5">
      <c r="A37" s="17">
        <f t="shared" ca="1" si="0"/>
        <v>46294</v>
      </c>
      <c r="B37" s="23">
        <f t="shared" si="1"/>
        <v>100000</v>
      </c>
      <c r="C37" s="22">
        <f t="shared" ca="1" si="2"/>
        <v>1454758.90410959</v>
      </c>
      <c r="D37" s="22">
        <f t="shared" ca="1" si="3"/>
        <v>1554758.90410959</v>
      </c>
      <c r="E37" s="1" cm="1">
        <f t="array" aca="1" ref="E37" ca="1">IF(OR(A37="",$C$3="",$C$4="",$C$5=""),"",IFERROR(LOOKUP(2,1/(('Kaynak Veri'!$A$2:$A$61&lt;=A37-1)*('Kaynak Veri'!$C$2:$C$61&lt;&gt;"")),'Kaynak Veri'!$C$2:$C$61),""))</f>
        <v>31</v>
      </c>
    </row>
    <row r="38" spans="1:5">
      <c r="A38" s="17">
        <f t="shared" ca="1" si="0"/>
        <v>46295</v>
      </c>
      <c r="B38" s="23">
        <f t="shared" si="1"/>
        <v>100000</v>
      </c>
      <c r="C38" s="22">
        <f t="shared" ca="1" si="2"/>
        <v>1454843.8356164393</v>
      </c>
      <c r="D38" s="22">
        <f t="shared" ca="1" si="3"/>
        <v>1554843.8356164393</v>
      </c>
      <c r="E38" s="1" cm="1">
        <f t="array" aca="1" ref="E38" ca="1">IF(OR(A38="",$C$3="",$C$4="",$C$5=""),"",IFERROR(LOOKUP(2,1/(('Kaynak Veri'!$A$2:$A$61&lt;=A38-1)*('Kaynak Veri'!$C$2:$C$61&lt;&gt;"")),'Kaynak Veri'!$C$2:$C$61),""))</f>
        <v>31</v>
      </c>
    </row>
  </sheetData>
  <sheetProtection algorithmName="SHA-512" hashValue="9yIz2tpKa/CtmFCIHIt0sVBcdYm4mBFVJtiK5iqsNhh0Vr/Sa0Qs8T/zwL2fMDrSCdqomuyK51Z0gZTk9QJqrA==" saltValue="syMpHyBvQcd2/zbHAfhOBg==" spinCount="100000" sheet="1" objects="1" scenarios="1"/>
  <mergeCells count="8">
    <mergeCell ref="A1:D2"/>
    <mergeCell ref="A6:D6"/>
    <mergeCell ref="A3:B3"/>
    <mergeCell ref="A4:B4"/>
    <mergeCell ref="A5:B5"/>
    <mergeCell ref="C5:D5"/>
    <mergeCell ref="C4:D4"/>
    <mergeCell ref="C3:D3"/>
  </mergeCells>
  <conditionalFormatting sqref="A1:D38">
    <cfRule type="expression" dxfId="0" priority="1">
      <formula>A1&lt;&gt;""</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BF1D2D-2546-4D33-A26C-8A6FCB5FD796}">
  <dimension ref="A1:P80"/>
  <sheetViews>
    <sheetView showGridLines="0" workbookViewId="0">
      <selection activeCell="F2" sqref="F2"/>
    </sheetView>
  </sheetViews>
  <sheetFormatPr defaultRowHeight="13.8"/>
  <cols>
    <col min="1" max="2" width="18" customWidth="1"/>
    <col min="3" max="4" width="20" customWidth="1"/>
    <col min="5" max="5" width="8.69921875" style="24" customWidth="1"/>
    <col min="6" max="6" width="13.8984375" style="24" customWidth="1"/>
    <col min="7" max="7" width="9.09765625" style="24" customWidth="1"/>
  </cols>
  <sheetData>
    <row r="1" spans="1:16" ht="27.6">
      <c r="A1" s="25" t="s">
        <v>11</v>
      </c>
      <c r="B1" s="25" t="s">
        <v>12</v>
      </c>
      <c r="C1" s="25" t="s">
        <v>13</v>
      </c>
      <c r="D1" s="25" t="s">
        <v>14</v>
      </c>
      <c r="E1" s="1" t="s">
        <v>15</v>
      </c>
      <c r="F1" s="1" t="s">
        <v>16</v>
      </c>
      <c r="G1" s="1" t="s">
        <v>17</v>
      </c>
      <c r="I1" s="47" t="s">
        <v>20</v>
      </c>
      <c r="J1" s="47"/>
    </row>
    <row r="2" spans="1:16">
      <c r="A2" s="17">
        <v>1</v>
      </c>
      <c r="B2" s="17">
        <v>30681</v>
      </c>
      <c r="C2" s="18">
        <v>5</v>
      </c>
      <c r="D2" s="18"/>
      <c r="E2" s="1">
        <f>IF(C2="","",IF(ROW()=2,1,IF(C2=C1,E1,E1+1)))</f>
        <v>1</v>
      </c>
      <c r="F2" s="26">
        <f>IF(E2="","",IFERROR(INDEX($A$2:$A$61,MATCH(E2+1,$E$2:$E$61,0))-1,MAX($B$2:$B$61)))</f>
        <v>30681</v>
      </c>
      <c r="G2" s="1">
        <f>IF(E2="","",IF(ROW()=2,1,IF(E2=E1,"",E2)))</f>
        <v>1</v>
      </c>
      <c r="I2" s="45" t="s">
        <v>26</v>
      </c>
      <c r="J2" s="45"/>
      <c r="K2" s="45"/>
      <c r="L2" s="45"/>
      <c r="M2" s="45"/>
      <c r="N2" s="45"/>
      <c r="O2" s="45"/>
      <c r="P2" s="45"/>
    </row>
    <row r="3" spans="1:16">
      <c r="A3" s="17">
        <v>30682</v>
      </c>
      <c r="B3" s="17">
        <v>35795</v>
      </c>
      <c r="C3" s="18">
        <v>30</v>
      </c>
      <c r="D3" s="18"/>
      <c r="E3" s="1">
        <f t="shared" ref="E3:E61" si="0">IF(C3="","",IF(ROW()=2,1,IF(C3=C2,E2,E2+1)))</f>
        <v>2</v>
      </c>
      <c r="F3" s="26">
        <f t="shared" ref="F3:F61" si="1">IF(E3="","",IFERROR(INDEX($A$2:$A$61,MATCH(E3+1,$E$2:$E$61,0))-1,MAX($B$2:$B$61)))</f>
        <v>35795</v>
      </c>
      <c r="G3" s="1">
        <f t="shared" ref="G3:G61" si="2">IF(E3="","",IF(ROW()=2,1,IF(E3=E2,"",E3)))</f>
        <v>2</v>
      </c>
      <c r="I3" s="45"/>
      <c r="J3" s="45"/>
      <c r="K3" s="45"/>
      <c r="L3" s="45"/>
      <c r="M3" s="45"/>
      <c r="N3" s="45"/>
      <c r="O3" s="45"/>
      <c r="P3" s="45"/>
    </row>
    <row r="4" spans="1:16">
      <c r="A4" s="17">
        <v>35796</v>
      </c>
      <c r="B4" s="17">
        <v>36525</v>
      </c>
      <c r="C4" s="18">
        <v>50</v>
      </c>
      <c r="D4" s="18"/>
      <c r="E4" s="1">
        <f t="shared" si="0"/>
        <v>3</v>
      </c>
      <c r="F4" s="26">
        <f t="shared" si="1"/>
        <v>36525</v>
      </c>
      <c r="G4" s="1">
        <f t="shared" si="2"/>
        <v>3</v>
      </c>
      <c r="I4" s="41" t="s">
        <v>30</v>
      </c>
      <c r="J4" s="41"/>
      <c r="K4" s="41"/>
      <c r="L4" s="41"/>
      <c r="M4" s="41"/>
      <c r="N4" s="41"/>
      <c r="O4" s="41"/>
      <c r="P4" s="41"/>
    </row>
    <row r="5" spans="1:16">
      <c r="A5" s="17">
        <v>36526</v>
      </c>
      <c r="B5" s="17">
        <v>37437</v>
      </c>
      <c r="C5" s="18">
        <v>60</v>
      </c>
      <c r="D5" s="18"/>
      <c r="E5" s="1">
        <f t="shared" si="0"/>
        <v>4</v>
      </c>
      <c r="F5" s="26">
        <f t="shared" si="1"/>
        <v>37437</v>
      </c>
      <c r="G5" s="1">
        <f t="shared" si="2"/>
        <v>4</v>
      </c>
      <c r="I5" s="41"/>
      <c r="J5" s="41"/>
      <c r="K5" s="41"/>
      <c r="L5" s="41"/>
      <c r="M5" s="41"/>
      <c r="N5" s="41"/>
      <c r="O5" s="41"/>
      <c r="P5" s="41"/>
    </row>
    <row r="6" spans="1:16">
      <c r="A6" s="17">
        <v>37438</v>
      </c>
      <c r="B6" s="17">
        <v>37802</v>
      </c>
      <c r="C6" s="18">
        <v>55</v>
      </c>
      <c r="D6" s="18"/>
      <c r="E6" s="1">
        <f t="shared" si="0"/>
        <v>5</v>
      </c>
      <c r="F6" s="26">
        <f t="shared" si="1"/>
        <v>37802</v>
      </c>
      <c r="G6" s="1">
        <f t="shared" si="2"/>
        <v>5</v>
      </c>
      <c r="I6" s="41" t="s">
        <v>29</v>
      </c>
      <c r="J6" s="41"/>
      <c r="K6" s="41"/>
      <c r="L6" s="41"/>
      <c r="M6" s="41"/>
      <c r="N6" s="41"/>
      <c r="O6" s="41"/>
      <c r="P6" s="41"/>
    </row>
    <row r="7" spans="1:16">
      <c r="A7" s="17">
        <v>37803</v>
      </c>
      <c r="B7" s="17">
        <v>37986</v>
      </c>
      <c r="C7" s="18">
        <v>50</v>
      </c>
      <c r="D7" s="18"/>
      <c r="E7" s="1">
        <f t="shared" si="0"/>
        <v>6</v>
      </c>
      <c r="F7" s="26">
        <f t="shared" si="1"/>
        <v>37986</v>
      </c>
      <c r="G7" s="1">
        <f t="shared" si="2"/>
        <v>6</v>
      </c>
      <c r="I7" s="41"/>
      <c r="J7" s="41"/>
      <c r="K7" s="41"/>
      <c r="L7" s="41"/>
      <c r="M7" s="41"/>
      <c r="N7" s="41"/>
      <c r="O7" s="41"/>
      <c r="P7" s="41"/>
    </row>
    <row r="8" spans="1:16">
      <c r="A8" s="17">
        <v>37987</v>
      </c>
      <c r="B8" s="17">
        <v>38168</v>
      </c>
      <c r="C8" s="18">
        <v>43</v>
      </c>
      <c r="D8" s="18"/>
      <c r="E8" s="1">
        <f t="shared" si="0"/>
        <v>7</v>
      </c>
      <c r="F8" s="26">
        <f t="shared" si="1"/>
        <v>38168</v>
      </c>
      <c r="G8" s="1">
        <f t="shared" si="2"/>
        <v>7</v>
      </c>
      <c r="I8" s="41" t="s">
        <v>31</v>
      </c>
      <c r="J8" s="41"/>
      <c r="K8" s="41"/>
      <c r="L8" s="41"/>
      <c r="M8" s="41"/>
      <c r="N8" s="41"/>
      <c r="O8" s="41"/>
      <c r="P8" s="41"/>
    </row>
    <row r="9" spans="1:16">
      <c r="A9" s="17">
        <v>38169</v>
      </c>
      <c r="B9" s="17">
        <v>38472</v>
      </c>
      <c r="C9" s="18">
        <v>38</v>
      </c>
      <c r="D9" s="18"/>
      <c r="E9" s="1">
        <f t="shared" si="0"/>
        <v>8</v>
      </c>
      <c r="F9" s="26">
        <f t="shared" si="1"/>
        <v>38472</v>
      </c>
      <c r="G9" s="1">
        <f t="shared" si="2"/>
        <v>8</v>
      </c>
      <c r="I9" s="41"/>
      <c r="J9" s="41"/>
      <c r="K9" s="41"/>
      <c r="L9" s="41"/>
      <c r="M9" s="41"/>
      <c r="N9" s="41"/>
      <c r="O9" s="41"/>
      <c r="P9" s="41"/>
    </row>
    <row r="10" spans="1:16">
      <c r="A10" s="17">
        <v>38473</v>
      </c>
      <c r="B10" s="17">
        <v>38717</v>
      </c>
      <c r="C10" s="18">
        <v>12</v>
      </c>
      <c r="D10" s="18"/>
      <c r="E10" s="1">
        <f t="shared" si="0"/>
        <v>9</v>
      </c>
      <c r="F10" s="26">
        <f t="shared" si="1"/>
        <v>38717</v>
      </c>
      <c r="G10" s="1">
        <f t="shared" si="2"/>
        <v>9</v>
      </c>
    </row>
    <row r="11" spans="1:16">
      <c r="A11" s="17">
        <v>38718</v>
      </c>
      <c r="B11" s="17">
        <v>45443</v>
      </c>
      <c r="C11" s="18">
        <v>9</v>
      </c>
      <c r="D11" s="18"/>
      <c r="E11" s="1">
        <f t="shared" si="0"/>
        <v>10</v>
      </c>
      <c r="F11" s="26">
        <f t="shared" si="1"/>
        <v>45443</v>
      </c>
      <c r="G11" s="1">
        <f t="shared" si="2"/>
        <v>10</v>
      </c>
    </row>
    <row r="12" spans="1:16">
      <c r="A12" s="17">
        <v>45444</v>
      </c>
      <c r="B12" s="17">
        <v>46233</v>
      </c>
      <c r="C12" s="18">
        <v>24</v>
      </c>
      <c r="D12" s="18"/>
      <c r="E12" s="1">
        <f t="shared" si="0"/>
        <v>11</v>
      </c>
      <c r="F12" s="26">
        <f t="shared" si="1"/>
        <v>46233</v>
      </c>
      <c r="G12" s="1">
        <f t="shared" si="2"/>
        <v>11</v>
      </c>
      <c r="I12" s="44" t="s">
        <v>22</v>
      </c>
      <c r="J12" s="44"/>
      <c r="K12" s="44"/>
      <c r="L12" s="44"/>
      <c r="M12" s="44"/>
      <c r="N12" s="44"/>
      <c r="O12" s="44"/>
      <c r="P12" s="44"/>
    </row>
    <row r="13" spans="1:16">
      <c r="A13" s="17">
        <v>46234</v>
      </c>
      <c r="B13" s="17">
        <v>46387</v>
      </c>
      <c r="C13" s="18">
        <f>IF(D13="","",ROUND(D13*0.8,2))</f>
        <v>31</v>
      </c>
      <c r="D13" s="18">
        <f>IFERROR(_xlfn.XLOOKUP(DATE(2026,7,1),'PowerQuery Veri'!$A:$A,'PowerQuery Veri'!$B:$B),"")</f>
        <v>38.75</v>
      </c>
      <c r="E13" s="1">
        <f t="shared" si="0"/>
        <v>12</v>
      </c>
      <c r="F13" s="26">
        <f t="shared" si="1"/>
        <v>46387</v>
      </c>
      <c r="G13" s="1">
        <f t="shared" si="2"/>
        <v>12</v>
      </c>
      <c r="I13" s="48" t="s">
        <v>35</v>
      </c>
      <c r="J13" s="42"/>
      <c r="K13" s="42"/>
      <c r="L13" s="42"/>
      <c r="M13" s="42"/>
      <c r="O13" s="49"/>
      <c r="P13" s="49"/>
    </row>
    <row r="14" spans="1:16">
      <c r="A14" s="17">
        <v>46388</v>
      </c>
      <c r="B14" s="17" t="str">
        <f t="shared" ref="B14:B60" si="3">IF(C14="","",A15-1)</f>
        <v/>
      </c>
      <c r="C14" s="18" t="str">
        <f>IF(D14="","",ROUND(D14*0.8,2))</f>
        <v/>
      </c>
      <c r="D14" s="18" t="str">
        <f>IFERROR(_xlfn.XLOOKUP(A14,'PowerQuery Veri'!$A:$A,'PowerQuery Veri'!$B:$B),"")</f>
        <v/>
      </c>
      <c r="E14" s="1" t="str">
        <f t="shared" si="0"/>
        <v/>
      </c>
      <c r="F14" s="26" t="str">
        <f t="shared" si="1"/>
        <v/>
      </c>
      <c r="G14" s="1" t="str">
        <f t="shared" si="2"/>
        <v/>
      </c>
      <c r="I14" s="42"/>
      <c r="J14" s="42"/>
      <c r="K14" s="42"/>
      <c r="L14" s="42"/>
      <c r="M14" s="42"/>
      <c r="O14" s="49"/>
      <c r="P14" s="49"/>
    </row>
    <row r="15" spans="1:16">
      <c r="A15" s="17">
        <v>46569</v>
      </c>
      <c r="B15" s="17" t="str">
        <f t="shared" si="3"/>
        <v/>
      </c>
      <c r="C15" s="18" t="str">
        <f>IF(OR(D15="",D14=""),"",IF(ABS(D15-D14)&gt;=5,ROUND(D15*0.8,2),C14))</f>
        <v/>
      </c>
      <c r="D15" s="18" t="str">
        <f>IFERROR(_xlfn.XLOOKUP(A15,'PowerQuery Veri'!$A:$A,'PowerQuery Veri'!$B:$B),"")</f>
        <v/>
      </c>
      <c r="E15" s="1" t="str">
        <f t="shared" si="0"/>
        <v/>
      </c>
      <c r="F15" s="26" t="str">
        <f t="shared" si="1"/>
        <v/>
      </c>
      <c r="G15" s="1" t="str">
        <f t="shared" si="2"/>
        <v/>
      </c>
      <c r="I15" s="42"/>
      <c r="J15" s="42"/>
      <c r="K15" s="42"/>
      <c r="L15" s="42"/>
      <c r="M15" s="42"/>
      <c r="O15" s="49"/>
      <c r="P15" s="49"/>
    </row>
    <row r="16" spans="1:16">
      <c r="A16" s="17">
        <v>46753</v>
      </c>
      <c r="B16" s="17" t="str">
        <f t="shared" si="3"/>
        <v/>
      </c>
      <c r="C16" s="18" t="str">
        <f>IF(D16="","",ROUND(D16*0.8,2))</f>
        <v/>
      </c>
      <c r="D16" s="18" t="str">
        <f>IFERROR(_xlfn.XLOOKUP(A16,'PowerQuery Veri'!$A:$A,'PowerQuery Veri'!$B:$B),"")</f>
        <v/>
      </c>
      <c r="E16" s="1" t="str">
        <f t="shared" si="0"/>
        <v/>
      </c>
      <c r="F16" s="26" t="str">
        <f t="shared" si="1"/>
        <v/>
      </c>
      <c r="G16" s="1" t="str">
        <f t="shared" si="2"/>
        <v/>
      </c>
      <c r="I16" s="40" t="s">
        <v>21</v>
      </c>
      <c r="J16" s="41"/>
      <c r="K16" s="41"/>
      <c r="L16" s="41"/>
      <c r="M16" s="41"/>
      <c r="O16" s="49"/>
      <c r="P16" s="49"/>
    </row>
    <row r="17" spans="1:16">
      <c r="A17" s="17">
        <v>46935</v>
      </c>
      <c r="B17" s="17" t="str">
        <f t="shared" si="3"/>
        <v/>
      </c>
      <c r="C17" s="18" t="str">
        <f>IF(OR(D17="",D16=""),"",IF(ABS(D17-D16)&gt;=5,ROUND(D17*0.8,2),C16))</f>
        <v/>
      </c>
      <c r="D17" s="18" t="str">
        <f>IFERROR(_xlfn.XLOOKUP(A17,'PowerQuery Veri'!$A:$A,'PowerQuery Veri'!$B:$B),"")</f>
        <v/>
      </c>
      <c r="E17" s="1" t="str">
        <f t="shared" si="0"/>
        <v/>
      </c>
      <c r="F17" s="26" t="str">
        <f t="shared" si="1"/>
        <v/>
      </c>
      <c r="G17" s="1" t="str">
        <f t="shared" si="2"/>
        <v/>
      </c>
      <c r="I17" s="41"/>
      <c r="J17" s="41"/>
      <c r="K17" s="41"/>
      <c r="L17" s="41"/>
      <c r="M17" s="41"/>
      <c r="O17" s="49"/>
      <c r="P17" s="49"/>
    </row>
    <row r="18" spans="1:16">
      <c r="A18" s="17">
        <v>47119</v>
      </c>
      <c r="B18" s="17" t="str">
        <f t="shared" si="3"/>
        <v/>
      </c>
      <c r="C18" s="18" t="str">
        <f>IF(D18="","",ROUND(D18*0.8,2))</f>
        <v/>
      </c>
      <c r="D18" s="18" t="str">
        <f>IFERROR(_xlfn.XLOOKUP(A18,'PowerQuery Veri'!$A:$A,'PowerQuery Veri'!$B:$B),"")</f>
        <v/>
      </c>
      <c r="E18" s="1" t="str">
        <f t="shared" si="0"/>
        <v/>
      </c>
      <c r="F18" s="26" t="str">
        <f t="shared" si="1"/>
        <v/>
      </c>
      <c r="G18" s="1" t="str">
        <f t="shared" si="2"/>
        <v/>
      </c>
      <c r="I18" s="41"/>
      <c r="J18" s="41"/>
      <c r="K18" s="41"/>
      <c r="L18" s="41"/>
      <c r="M18" s="41"/>
      <c r="O18" s="49"/>
      <c r="P18" s="49"/>
    </row>
    <row r="19" spans="1:16" ht="13.8" customHeight="1">
      <c r="A19" s="17">
        <v>47300</v>
      </c>
      <c r="B19" s="17" t="str">
        <f t="shared" si="3"/>
        <v/>
      </c>
      <c r="C19" s="18" t="str">
        <f>IF(OR(D19="",D18=""),"",IF(ABS(D19-D18)&gt;=5,ROUND(D19*0.8,2),C18))</f>
        <v/>
      </c>
      <c r="D19" s="18" t="str">
        <f>IFERROR(_xlfn.XLOOKUP(A19,'PowerQuery Veri'!$A:$A,'PowerQuery Veri'!$B:$B),"")</f>
        <v/>
      </c>
      <c r="E19" s="1" t="str">
        <f t="shared" si="0"/>
        <v/>
      </c>
      <c r="F19" s="26" t="str">
        <f t="shared" si="1"/>
        <v/>
      </c>
      <c r="G19" s="1" t="str">
        <f t="shared" si="2"/>
        <v/>
      </c>
      <c r="O19" s="49"/>
      <c r="P19" s="49"/>
    </row>
    <row r="20" spans="1:16">
      <c r="A20" s="17">
        <v>47484</v>
      </c>
      <c r="B20" s="17" t="str">
        <f t="shared" si="3"/>
        <v/>
      </c>
      <c r="C20" s="18" t="str">
        <f>IF(D20="","",ROUND(D20*0.8,2))</f>
        <v/>
      </c>
      <c r="D20" s="18" t="str">
        <f>IFERROR(_xlfn.XLOOKUP(A20,'PowerQuery Veri'!$A:$A,'PowerQuery Veri'!$B:$B),"")</f>
        <v/>
      </c>
      <c r="E20" s="1" t="str">
        <f t="shared" si="0"/>
        <v/>
      </c>
      <c r="F20" s="26" t="str">
        <f t="shared" si="1"/>
        <v/>
      </c>
      <c r="G20" s="1" t="str">
        <f t="shared" si="2"/>
        <v/>
      </c>
      <c r="O20" s="14"/>
      <c r="P20" s="14"/>
    </row>
    <row r="21" spans="1:16">
      <c r="A21" s="17">
        <v>47665</v>
      </c>
      <c r="B21" s="17" t="str">
        <f t="shared" si="3"/>
        <v/>
      </c>
      <c r="C21" s="18" t="str">
        <f>IF(OR(D21="",D20=""),"",IF(ABS(D21-D20)&gt;=5,ROUND(D21*0.8,2),C20))</f>
        <v/>
      </c>
      <c r="D21" s="18" t="str">
        <f>IFERROR(_xlfn.XLOOKUP(A21,'PowerQuery Veri'!$A:$A,'PowerQuery Veri'!$B:$B),"")</f>
        <v/>
      </c>
      <c r="E21" s="1" t="str">
        <f t="shared" si="0"/>
        <v/>
      </c>
      <c r="F21" s="26" t="str">
        <f t="shared" si="1"/>
        <v/>
      </c>
      <c r="G21" s="1" t="str">
        <f t="shared" si="2"/>
        <v/>
      </c>
      <c r="I21" s="44" t="s">
        <v>34</v>
      </c>
      <c r="J21" s="44"/>
      <c r="K21" s="44"/>
      <c r="L21" s="44"/>
      <c r="M21" s="44"/>
      <c r="N21" s="44"/>
      <c r="O21" s="44"/>
      <c r="P21" s="44"/>
    </row>
    <row r="22" spans="1:16">
      <c r="A22" s="17">
        <v>47849</v>
      </c>
      <c r="B22" s="17" t="str">
        <f t="shared" si="3"/>
        <v/>
      </c>
      <c r="C22" s="18" t="str">
        <f>IF(D22="","",ROUND(D22*0.8,2))</f>
        <v/>
      </c>
      <c r="D22" s="18" t="str">
        <f>IFERROR(_xlfn.XLOOKUP(A22,'PowerQuery Veri'!$A:$A,'PowerQuery Veri'!$B:$B),"")</f>
        <v/>
      </c>
      <c r="E22" s="1" t="str">
        <f t="shared" si="0"/>
        <v/>
      </c>
      <c r="F22" s="26" t="str">
        <f t="shared" si="1"/>
        <v/>
      </c>
      <c r="G22" s="1" t="str">
        <f t="shared" si="2"/>
        <v/>
      </c>
      <c r="I22" s="49"/>
      <c r="J22" s="49"/>
      <c r="L22" s="42" t="s">
        <v>25</v>
      </c>
      <c r="M22" s="42"/>
      <c r="N22" s="42"/>
      <c r="O22" s="42"/>
      <c r="P22" s="42"/>
    </row>
    <row r="23" spans="1:16">
      <c r="A23" s="17">
        <v>48030</v>
      </c>
      <c r="B23" s="17" t="str">
        <f t="shared" si="3"/>
        <v/>
      </c>
      <c r="C23" s="18" t="str">
        <f>IF(OR(D23="",D22=""),"",IF(ABS(D23-D22)&gt;=5,ROUND(D23*0.8,2),C22))</f>
        <v/>
      </c>
      <c r="D23" s="18" t="str">
        <f>IFERROR(_xlfn.XLOOKUP(A23,'PowerQuery Veri'!$A:$A,'PowerQuery Veri'!$B:$B),"")</f>
        <v/>
      </c>
      <c r="E23" s="1" t="str">
        <f t="shared" si="0"/>
        <v/>
      </c>
      <c r="F23" s="26" t="str">
        <f t="shared" si="1"/>
        <v/>
      </c>
      <c r="G23" s="1" t="str">
        <f t="shared" si="2"/>
        <v/>
      </c>
      <c r="I23" s="49"/>
      <c r="J23" s="49"/>
      <c r="L23" s="42"/>
      <c r="M23" s="42"/>
      <c r="N23" s="42"/>
      <c r="O23" s="42"/>
      <c r="P23" s="42"/>
    </row>
    <row r="24" spans="1:16" ht="13.8" customHeight="1">
      <c r="A24" s="17">
        <v>48214</v>
      </c>
      <c r="B24" s="17" t="str">
        <f t="shared" si="3"/>
        <v/>
      </c>
      <c r="C24" s="18" t="str">
        <f>IF(D24="","",ROUND(D24*0.8,2))</f>
        <v/>
      </c>
      <c r="D24" s="18" t="str">
        <f>IFERROR(_xlfn.XLOOKUP(A24,'PowerQuery Veri'!$A:$A,'PowerQuery Veri'!$B:$B),"")</f>
        <v/>
      </c>
      <c r="E24" s="1" t="str">
        <f t="shared" si="0"/>
        <v/>
      </c>
      <c r="F24" s="26" t="str">
        <f t="shared" si="1"/>
        <v/>
      </c>
      <c r="G24" s="1" t="str">
        <f t="shared" si="2"/>
        <v/>
      </c>
      <c r="I24" s="49"/>
      <c r="J24" s="49"/>
      <c r="L24" s="42"/>
      <c r="M24" s="42"/>
      <c r="N24" s="42"/>
      <c r="O24" s="42"/>
      <c r="P24" s="42"/>
    </row>
    <row r="25" spans="1:16">
      <c r="A25" s="17">
        <v>48396</v>
      </c>
      <c r="B25" s="17" t="str">
        <f t="shared" si="3"/>
        <v/>
      </c>
      <c r="C25" s="18" t="str">
        <f>IF(OR(D25="",D24=""),"",IF(ABS(D25-D24)&gt;=5,ROUND(D25*0.8,2),C24))</f>
        <v/>
      </c>
      <c r="D25" s="18" t="str">
        <f>IFERROR(_xlfn.XLOOKUP(A25,'PowerQuery Veri'!$A:$A,'PowerQuery Veri'!$B:$B),"")</f>
        <v/>
      </c>
      <c r="E25" s="1" t="str">
        <f t="shared" si="0"/>
        <v/>
      </c>
      <c r="F25" s="26" t="str">
        <f t="shared" si="1"/>
        <v/>
      </c>
      <c r="G25" s="1" t="str">
        <f t="shared" si="2"/>
        <v/>
      </c>
      <c r="I25" s="49"/>
      <c r="J25" s="49"/>
      <c r="L25" s="41" t="s">
        <v>23</v>
      </c>
      <c r="M25" s="41"/>
      <c r="N25" s="41"/>
      <c r="O25" s="41"/>
      <c r="P25" s="41"/>
    </row>
    <row r="26" spans="1:16" ht="13.8" customHeight="1">
      <c r="A26" s="17">
        <v>48580</v>
      </c>
      <c r="B26" s="17" t="str">
        <f t="shared" si="3"/>
        <v/>
      </c>
      <c r="C26" s="18" t="str">
        <f>IF(D26="","",ROUND(D26*0.8,2))</f>
        <v/>
      </c>
      <c r="D26" s="18" t="str">
        <f>IFERROR(_xlfn.XLOOKUP(A26,'PowerQuery Veri'!$A:$A,'PowerQuery Veri'!$B:$B),"")</f>
        <v/>
      </c>
      <c r="E26" s="1" t="str">
        <f t="shared" si="0"/>
        <v/>
      </c>
      <c r="F26" s="26" t="str">
        <f t="shared" si="1"/>
        <v/>
      </c>
      <c r="G26" s="1" t="str">
        <f t="shared" si="2"/>
        <v/>
      </c>
      <c r="I26" s="49"/>
      <c r="J26" s="49"/>
      <c r="L26" s="41"/>
      <c r="M26" s="41"/>
      <c r="N26" s="41"/>
      <c r="O26" s="41"/>
      <c r="P26" s="41"/>
    </row>
    <row r="27" spans="1:16">
      <c r="A27" s="17">
        <v>48761</v>
      </c>
      <c r="B27" s="17" t="str">
        <f t="shared" si="3"/>
        <v/>
      </c>
      <c r="C27" s="18" t="str">
        <f>IF(OR(D27="",D26=""),"",IF(ABS(D27-D26)&gt;=5,ROUND(D27*0.8,2),C26))</f>
        <v/>
      </c>
      <c r="D27" s="18" t="str">
        <f>IFERROR(_xlfn.XLOOKUP(A27,'PowerQuery Veri'!$A:$A,'PowerQuery Veri'!$B:$B),"")</f>
        <v/>
      </c>
      <c r="E27" s="1" t="str">
        <f t="shared" si="0"/>
        <v/>
      </c>
      <c r="F27" s="26" t="str">
        <f t="shared" si="1"/>
        <v/>
      </c>
      <c r="G27" s="1" t="str">
        <f t="shared" si="2"/>
        <v/>
      </c>
      <c r="I27" s="49"/>
      <c r="J27" s="49"/>
      <c r="L27" s="41"/>
      <c r="M27" s="41"/>
      <c r="N27" s="41"/>
      <c r="O27" s="41"/>
      <c r="P27" s="41"/>
    </row>
    <row r="28" spans="1:16">
      <c r="A28" s="17">
        <v>48945</v>
      </c>
      <c r="B28" s="17" t="str">
        <f t="shared" si="3"/>
        <v/>
      </c>
      <c r="C28" s="18" t="str">
        <f>IF(D28="","",ROUND(D28*0.8,2))</f>
        <v/>
      </c>
      <c r="D28" s="18" t="str">
        <f>IFERROR(_xlfn.XLOOKUP(A28,'PowerQuery Veri'!$A:$A,'PowerQuery Veri'!$B:$B),"")</f>
        <v/>
      </c>
      <c r="E28" s="1" t="str">
        <f t="shared" si="0"/>
        <v/>
      </c>
      <c r="F28" s="26" t="str">
        <f t="shared" si="1"/>
        <v/>
      </c>
      <c r="G28" s="1" t="str">
        <f t="shared" si="2"/>
        <v/>
      </c>
      <c r="I28" s="49"/>
      <c r="J28" s="49"/>
      <c r="K28" s="15"/>
    </row>
    <row r="29" spans="1:16">
      <c r="A29" s="17">
        <v>49126</v>
      </c>
      <c r="B29" s="17" t="str">
        <f t="shared" si="3"/>
        <v/>
      </c>
      <c r="C29" s="18" t="str">
        <f>IF(OR(D29="",D28=""),"",IF(ABS(D29-D28)&gt;=5,ROUND(D29*0.8,2),C28))</f>
        <v/>
      </c>
      <c r="D29" s="18" t="str">
        <f>IFERROR(_xlfn.XLOOKUP(A29,'PowerQuery Veri'!$A:$A,'PowerQuery Veri'!$B:$B),"")</f>
        <v/>
      </c>
      <c r="E29" s="1" t="str">
        <f t="shared" si="0"/>
        <v/>
      </c>
      <c r="F29" s="26" t="str">
        <f t="shared" si="1"/>
        <v/>
      </c>
      <c r="G29" s="1" t="str">
        <f t="shared" si="2"/>
        <v/>
      </c>
      <c r="I29" s="14"/>
      <c r="J29" s="15"/>
      <c r="K29" s="15"/>
    </row>
    <row r="30" spans="1:16">
      <c r="A30" s="17">
        <v>49310</v>
      </c>
      <c r="B30" s="17" t="str">
        <f t="shared" si="3"/>
        <v/>
      </c>
      <c r="C30" s="18" t="str">
        <f>IF(D30="","",ROUND(D30*0.8,2))</f>
        <v/>
      </c>
      <c r="D30" s="18" t="str">
        <f>IFERROR(_xlfn.XLOOKUP(A30,'PowerQuery Veri'!$A:$A,'PowerQuery Veri'!$B:$B),"")</f>
        <v/>
      </c>
      <c r="E30" s="1" t="str">
        <f t="shared" si="0"/>
        <v/>
      </c>
      <c r="F30" s="26" t="str">
        <f t="shared" si="1"/>
        <v/>
      </c>
      <c r="G30" s="1" t="str">
        <f t="shared" si="2"/>
        <v/>
      </c>
      <c r="I30" s="14"/>
      <c r="J30" s="15"/>
      <c r="K30" s="15"/>
    </row>
    <row r="31" spans="1:16">
      <c r="A31" s="17">
        <v>49491</v>
      </c>
      <c r="B31" s="17" t="str">
        <f t="shared" si="3"/>
        <v/>
      </c>
      <c r="C31" s="18" t="str">
        <f>IF(OR(D31="",D30=""),"",IF(ABS(D31-D30)&gt;=5,ROUND(D31*0.8,2),C30))</f>
        <v/>
      </c>
      <c r="D31" s="18" t="str">
        <f>IFERROR(_xlfn.XLOOKUP(A31,'PowerQuery Veri'!$A:$A,'PowerQuery Veri'!$B:$B),"")</f>
        <v/>
      </c>
      <c r="E31" s="1" t="str">
        <f t="shared" si="0"/>
        <v/>
      </c>
      <c r="F31" s="26" t="str">
        <f t="shared" si="1"/>
        <v/>
      </c>
      <c r="G31" s="1" t="str">
        <f t="shared" si="2"/>
        <v/>
      </c>
      <c r="I31" s="46" t="s">
        <v>24</v>
      </c>
      <c r="J31" s="46"/>
      <c r="K31" s="46"/>
      <c r="L31" s="46"/>
      <c r="M31" s="46"/>
      <c r="N31" s="46"/>
      <c r="O31" s="46"/>
      <c r="P31" s="46"/>
    </row>
    <row r="32" spans="1:16">
      <c r="A32" s="17">
        <v>49675</v>
      </c>
      <c r="B32" s="17" t="str">
        <f t="shared" si="3"/>
        <v/>
      </c>
      <c r="C32" s="18" t="str">
        <f>IF(D32="","",ROUND(D32*0.8,2))</f>
        <v/>
      </c>
      <c r="D32" s="18" t="str">
        <f>IFERROR(_xlfn.XLOOKUP(A32,'PowerQuery Veri'!$A:$A,'PowerQuery Veri'!$B:$B),"")</f>
        <v/>
      </c>
      <c r="E32" s="1" t="str">
        <f t="shared" si="0"/>
        <v/>
      </c>
      <c r="F32" s="26" t="str">
        <f t="shared" si="1"/>
        <v/>
      </c>
      <c r="G32" s="1" t="str">
        <f t="shared" si="2"/>
        <v/>
      </c>
      <c r="I32" s="39" t="s">
        <v>33</v>
      </c>
      <c r="J32" s="39"/>
      <c r="K32" s="39"/>
      <c r="L32" s="39"/>
      <c r="M32" s="39"/>
      <c r="N32" s="39"/>
      <c r="O32" s="39"/>
      <c r="P32" s="39"/>
    </row>
    <row r="33" spans="1:16">
      <c r="A33" s="17">
        <v>49857</v>
      </c>
      <c r="B33" s="17" t="str">
        <f t="shared" si="3"/>
        <v/>
      </c>
      <c r="C33" s="18" t="str">
        <f t="shared" ref="C33" si="4">IF(OR(D33="",D32=""),"",IF(ABS(D33-D32)&gt;=5,ROUND(D33*0.8,2),C32))</f>
        <v/>
      </c>
      <c r="D33" s="18" t="str">
        <f>IFERROR(_xlfn.XLOOKUP(A33,'PowerQuery Veri'!$A:$A,'PowerQuery Veri'!$B:$B),"")</f>
        <v/>
      </c>
      <c r="E33" s="1" t="str">
        <f t="shared" si="0"/>
        <v/>
      </c>
      <c r="F33" s="26" t="str">
        <f t="shared" si="1"/>
        <v/>
      </c>
      <c r="G33" s="1" t="str">
        <f t="shared" si="2"/>
        <v/>
      </c>
      <c r="I33" s="45" t="s">
        <v>32</v>
      </c>
      <c r="J33" s="45"/>
      <c r="K33" s="45"/>
      <c r="L33" s="45"/>
      <c r="M33" s="45"/>
      <c r="N33" s="45"/>
      <c r="O33" s="45"/>
      <c r="P33" s="45"/>
    </row>
    <row r="34" spans="1:16">
      <c r="A34" s="17">
        <v>50041</v>
      </c>
      <c r="B34" s="17" t="str">
        <f t="shared" si="3"/>
        <v/>
      </c>
      <c r="C34" s="18" t="str">
        <f t="shared" ref="C34" si="5">IF(D34="","",ROUND(D34*0.8,2))</f>
        <v/>
      </c>
      <c r="D34" s="18" t="str">
        <f>IFERROR(_xlfn.XLOOKUP(A34,'PowerQuery Veri'!$A:$A,'PowerQuery Veri'!$B:$B),"")</f>
        <v/>
      </c>
      <c r="E34" s="1" t="str">
        <f t="shared" si="0"/>
        <v/>
      </c>
      <c r="F34" s="26" t="str">
        <f t="shared" si="1"/>
        <v/>
      </c>
      <c r="G34" s="1" t="str">
        <f t="shared" si="2"/>
        <v/>
      </c>
      <c r="I34" s="45"/>
      <c r="J34" s="45"/>
      <c r="K34" s="45"/>
      <c r="L34" s="45"/>
      <c r="M34" s="45"/>
      <c r="N34" s="45"/>
      <c r="O34" s="45"/>
      <c r="P34" s="45"/>
    </row>
    <row r="35" spans="1:16">
      <c r="A35" s="17">
        <v>50222</v>
      </c>
      <c r="B35" s="17" t="str">
        <f t="shared" si="3"/>
        <v/>
      </c>
      <c r="C35" s="18" t="str">
        <f t="shared" ref="C35" si="6">IF(OR(D35="",D34=""),"",IF(ABS(D35-D34)&gt;=5,ROUND(D35*0.8,2),C34))</f>
        <v/>
      </c>
      <c r="D35" s="18" t="str">
        <f>IFERROR(_xlfn.XLOOKUP(A35,'PowerQuery Veri'!$A:$A,'PowerQuery Veri'!$B:$B),"")</f>
        <v/>
      </c>
      <c r="E35" s="1" t="str">
        <f t="shared" si="0"/>
        <v/>
      </c>
      <c r="F35" s="26" t="str">
        <f t="shared" si="1"/>
        <v/>
      </c>
      <c r="G35" s="1" t="str">
        <f t="shared" si="2"/>
        <v/>
      </c>
      <c r="I35" s="45"/>
      <c r="J35" s="45"/>
      <c r="K35" s="45"/>
      <c r="L35" s="45"/>
      <c r="M35" s="45"/>
      <c r="N35" s="45"/>
      <c r="O35" s="45"/>
      <c r="P35" s="45"/>
    </row>
    <row r="36" spans="1:16">
      <c r="A36" s="17">
        <v>50406</v>
      </c>
      <c r="B36" s="17" t="str">
        <f t="shared" si="3"/>
        <v/>
      </c>
      <c r="C36" s="18" t="str">
        <f t="shared" ref="C36" si="7">IF(D36="","",ROUND(D36*0.8,2))</f>
        <v/>
      </c>
      <c r="D36" s="18" t="str">
        <f>IFERROR(_xlfn.XLOOKUP(A36,'PowerQuery Veri'!$A:$A,'PowerQuery Veri'!$B:$B),"")</f>
        <v/>
      </c>
      <c r="E36" s="1" t="str">
        <f t="shared" si="0"/>
        <v/>
      </c>
      <c r="F36" s="26" t="str">
        <f t="shared" si="1"/>
        <v/>
      </c>
      <c r="G36" s="1" t="str">
        <f t="shared" si="2"/>
        <v/>
      </c>
      <c r="I36" s="45"/>
      <c r="J36" s="45"/>
      <c r="K36" s="45"/>
      <c r="L36" s="45"/>
      <c r="M36" s="45"/>
      <c r="N36" s="45"/>
      <c r="O36" s="45"/>
      <c r="P36" s="45"/>
    </row>
    <row r="37" spans="1:16">
      <c r="A37" s="17">
        <v>50587</v>
      </c>
      <c r="B37" s="17" t="str">
        <f t="shared" si="3"/>
        <v/>
      </c>
      <c r="C37" s="18" t="str">
        <f t="shared" ref="C37" si="8">IF(OR(D37="",D36=""),"",IF(ABS(D37-D36)&gt;=5,ROUND(D37*0.8,2),C36))</f>
        <v/>
      </c>
      <c r="D37" s="18" t="str">
        <f>IFERROR(_xlfn.XLOOKUP(A37,'PowerQuery Veri'!$A:$A,'PowerQuery Veri'!$B:$B),"")</f>
        <v/>
      </c>
      <c r="E37" s="1" t="str">
        <f t="shared" si="0"/>
        <v/>
      </c>
      <c r="F37" s="26" t="str">
        <f t="shared" si="1"/>
        <v/>
      </c>
      <c r="G37" s="1" t="str">
        <f t="shared" si="2"/>
        <v/>
      </c>
      <c r="I37" s="45"/>
      <c r="J37" s="45"/>
      <c r="K37" s="45"/>
      <c r="L37" s="45"/>
      <c r="M37" s="45"/>
      <c r="N37" s="45"/>
      <c r="O37" s="45"/>
      <c r="P37" s="45"/>
    </row>
    <row r="38" spans="1:16">
      <c r="A38" s="17">
        <v>50771</v>
      </c>
      <c r="B38" s="17" t="str">
        <f t="shared" si="3"/>
        <v/>
      </c>
      <c r="C38" s="18" t="str">
        <f t="shared" ref="C38" si="9">IF(D38="","",ROUND(D38*0.8,2))</f>
        <v/>
      </c>
      <c r="D38" s="18" t="str">
        <f>IFERROR(_xlfn.XLOOKUP(A38,'PowerQuery Veri'!$A:$A,'PowerQuery Veri'!$B:$B),"")</f>
        <v/>
      </c>
      <c r="E38" s="1" t="str">
        <f t="shared" si="0"/>
        <v/>
      </c>
      <c r="F38" s="26" t="str">
        <f t="shared" si="1"/>
        <v/>
      </c>
      <c r="G38" s="1" t="str">
        <f t="shared" si="2"/>
        <v/>
      </c>
      <c r="I38" s="45"/>
      <c r="J38" s="45"/>
      <c r="K38" s="45"/>
      <c r="L38" s="45"/>
      <c r="M38" s="45"/>
      <c r="N38" s="45"/>
      <c r="O38" s="45"/>
      <c r="P38" s="45"/>
    </row>
    <row r="39" spans="1:16">
      <c r="A39" s="17">
        <v>50952</v>
      </c>
      <c r="B39" s="17" t="str">
        <f t="shared" si="3"/>
        <v/>
      </c>
      <c r="C39" s="18" t="str">
        <f t="shared" ref="C39" si="10">IF(OR(D39="",D38=""),"",IF(ABS(D39-D38)&gt;=5,ROUND(D39*0.8,2),C38))</f>
        <v/>
      </c>
      <c r="D39" s="18" t="str">
        <f>IFERROR(_xlfn.XLOOKUP(A39,'PowerQuery Veri'!$A:$A,'PowerQuery Veri'!$B:$B),"")</f>
        <v/>
      </c>
      <c r="E39" s="1" t="str">
        <f t="shared" si="0"/>
        <v/>
      </c>
      <c r="F39" s="26" t="str">
        <f t="shared" si="1"/>
        <v/>
      </c>
      <c r="G39" s="1" t="str">
        <f t="shared" si="2"/>
        <v/>
      </c>
      <c r="I39" s="45"/>
      <c r="J39" s="45"/>
      <c r="K39" s="45"/>
      <c r="L39" s="45"/>
      <c r="M39" s="45"/>
      <c r="N39" s="45"/>
      <c r="O39" s="45"/>
      <c r="P39" s="45"/>
    </row>
    <row r="40" spans="1:16">
      <c r="A40" s="17">
        <v>51136</v>
      </c>
      <c r="B40" s="17" t="str">
        <f t="shared" si="3"/>
        <v/>
      </c>
      <c r="C40" s="18" t="str">
        <f t="shared" ref="C40" si="11">IF(D40="","",ROUND(D40*0.8,2))</f>
        <v/>
      </c>
      <c r="D40" s="18" t="str">
        <f>IFERROR(_xlfn.XLOOKUP(A40,'PowerQuery Veri'!$A:$A,'PowerQuery Veri'!$B:$B),"")</f>
        <v/>
      </c>
      <c r="E40" s="1" t="str">
        <f t="shared" si="0"/>
        <v/>
      </c>
      <c r="F40" s="26" t="str">
        <f t="shared" si="1"/>
        <v/>
      </c>
      <c r="G40" s="1" t="str">
        <f t="shared" si="2"/>
        <v/>
      </c>
      <c r="I40" s="45"/>
      <c r="J40" s="45"/>
      <c r="K40" s="45"/>
      <c r="L40" s="45"/>
      <c r="M40" s="45"/>
      <c r="N40" s="45"/>
      <c r="O40" s="45"/>
      <c r="P40" s="45"/>
    </row>
    <row r="41" spans="1:16">
      <c r="A41" s="17">
        <v>51318</v>
      </c>
      <c r="B41" s="17" t="str">
        <f t="shared" si="3"/>
        <v/>
      </c>
      <c r="C41" s="18" t="str">
        <f t="shared" ref="C41" si="12">IF(OR(D41="",D40=""),"",IF(ABS(D41-D40)&gt;=5,ROUND(D41*0.8,2),C40))</f>
        <v/>
      </c>
      <c r="D41" s="18" t="str">
        <f>IFERROR(_xlfn.XLOOKUP(A41,'PowerQuery Veri'!$A:$A,'PowerQuery Veri'!$B:$B),"")</f>
        <v/>
      </c>
      <c r="E41" s="1" t="str">
        <f t="shared" si="0"/>
        <v/>
      </c>
      <c r="F41" s="26" t="str">
        <f t="shared" si="1"/>
        <v/>
      </c>
      <c r="G41" s="1" t="str">
        <f t="shared" si="2"/>
        <v/>
      </c>
      <c r="I41" s="45"/>
      <c r="J41" s="45"/>
      <c r="K41" s="45"/>
      <c r="L41" s="45"/>
      <c r="M41" s="45"/>
      <c r="N41" s="45"/>
      <c r="O41" s="45"/>
      <c r="P41" s="45"/>
    </row>
    <row r="42" spans="1:16">
      <c r="A42" s="17">
        <v>51502</v>
      </c>
      <c r="B42" s="17" t="str">
        <f t="shared" si="3"/>
        <v/>
      </c>
      <c r="C42" s="18" t="str">
        <f t="shared" ref="C42" si="13">IF(D42="","",ROUND(D42*0.8,2))</f>
        <v/>
      </c>
      <c r="D42" s="18" t="str">
        <f>IFERROR(_xlfn.XLOOKUP(A42,'PowerQuery Veri'!$A:$A,'PowerQuery Veri'!$B:$B),"")</f>
        <v/>
      </c>
      <c r="E42" s="1" t="str">
        <f t="shared" si="0"/>
        <v/>
      </c>
      <c r="F42" s="26" t="str">
        <f t="shared" si="1"/>
        <v/>
      </c>
      <c r="G42" s="1" t="str">
        <f t="shared" si="2"/>
        <v/>
      </c>
      <c r="I42" s="45"/>
      <c r="J42" s="45"/>
      <c r="K42" s="45"/>
      <c r="L42" s="45"/>
      <c r="M42" s="45"/>
      <c r="N42" s="45"/>
      <c r="O42" s="45"/>
      <c r="P42" s="45"/>
    </row>
    <row r="43" spans="1:16">
      <c r="A43" s="17">
        <v>51683</v>
      </c>
      <c r="B43" s="17" t="str">
        <f t="shared" si="3"/>
        <v/>
      </c>
      <c r="C43" s="18" t="str">
        <f t="shared" ref="C43" si="14">IF(OR(D43="",D42=""),"",IF(ABS(D43-D42)&gt;=5,ROUND(D43*0.8,2),C42))</f>
        <v/>
      </c>
      <c r="D43" s="18" t="str">
        <f>IFERROR(_xlfn.XLOOKUP(A43,'PowerQuery Veri'!$A:$A,'PowerQuery Veri'!$B:$B),"")</f>
        <v/>
      </c>
      <c r="E43" s="1" t="str">
        <f t="shared" si="0"/>
        <v/>
      </c>
      <c r="F43" s="26" t="str">
        <f t="shared" si="1"/>
        <v/>
      </c>
      <c r="G43" s="1" t="str">
        <f t="shared" si="2"/>
        <v/>
      </c>
      <c r="I43" s="45"/>
      <c r="J43" s="45"/>
      <c r="K43" s="45"/>
      <c r="L43" s="45"/>
      <c r="M43" s="45"/>
      <c r="N43" s="45"/>
      <c r="O43" s="45"/>
      <c r="P43" s="45"/>
    </row>
    <row r="44" spans="1:16">
      <c r="A44" s="17">
        <v>51867</v>
      </c>
      <c r="B44" s="17" t="str">
        <f t="shared" si="3"/>
        <v/>
      </c>
      <c r="C44" s="18" t="str">
        <f t="shared" ref="C44" si="15">IF(D44="","",ROUND(D44*0.8,2))</f>
        <v/>
      </c>
      <c r="D44" s="18" t="str">
        <f>IFERROR(_xlfn.XLOOKUP(A44,'PowerQuery Veri'!$A:$A,'PowerQuery Veri'!$B:$B),"")</f>
        <v/>
      </c>
      <c r="E44" s="1" t="str">
        <f t="shared" si="0"/>
        <v/>
      </c>
      <c r="F44" s="26" t="str">
        <f t="shared" si="1"/>
        <v/>
      </c>
      <c r="G44" s="1" t="str">
        <f t="shared" si="2"/>
        <v/>
      </c>
      <c r="I44" s="45"/>
      <c r="J44" s="45"/>
      <c r="K44" s="45"/>
      <c r="L44" s="45"/>
      <c r="M44" s="45"/>
      <c r="N44" s="45"/>
      <c r="O44" s="45"/>
      <c r="P44" s="45"/>
    </row>
    <row r="45" spans="1:16">
      <c r="A45" s="17">
        <v>52048</v>
      </c>
      <c r="B45" s="17" t="str">
        <f t="shared" si="3"/>
        <v/>
      </c>
      <c r="C45" s="18" t="str">
        <f t="shared" ref="C45" si="16">IF(OR(D45="",D44=""),"",IF(ABS(D45-D44)&gt;=5,ROUND(D45*0.8,2),C44))</f>
        <v/>
      </c>
      <c r="D45" s="18" t="str">
        <f>IFERROR(_xlfn.XLOOKUP(A45,'PowerQuery Veri'!$A:$A,'PowerQuery Veri'!$B:$B),"")</f>
        <v/>
      </c>
      <c r="E45" s="1" t="str">
        <f t="shared" si="0"/>
        <v/>
      </c>
      <c r="F45" s="26" t="str">
        <f t="shared" si="1"/>
        <v/>
      </c>
      <c r="G45" s="1" t="str">
        <f t="shared" si="2"/>
        <v/>
      </c>
    </row>
    <row r="46" spans="1:16">
      <c r="A46" s="17">
        <v>52232</v>
      </c>
      <c r="B46" s="17" t="str">
        <f t="shared" si="3"/>
        <v/>
      </c>
      <c r="C46" s="18" t="str">
        <f t="shared" ref="C46" si="17">IF(D46="","",ROUND(D46*0.8,2))</f>
        <v/>
      </c>
      <c r="D46" s="18" t="str">
        <f>IFERROR(_xlfn.XLOOKUP(A46,'PowerQuery Veri'!$A:$A,'PowerQuery Veri'!$B:$B),"")</f>
        <v/>
      </c>
      <c r="E46" s="1" t="str">
        <f t="shared" si="0"/>
        <v/>
      </c>
      <c r="F46" s="26" t="str">
        <f t="shared" si="1"/>
        <v/>
      </c>
      <c r="G46" s="1" t="str">
        <f t="shared" si="2"/>
        <v/>
      </c>
    </row>
    <row r="47" spans="1:16">
      <c r="A47" s="17">
        <v>52413</v>
      </c>
      <c r="B47" s="17" t="str">
        <f t="shared" si="3"/>
        <v/>
      </c>
      <c r="C47" s="18" t="str">
        <f t="shared" ref="C47" si="18">IF(OR(D47="",D46=""),"",IF(ABS(D47-D46)&gt;=5,ROUND(D47*0.8,2),C46))</f>
        <v/>
      </c>
      <c r="D47" s="18" t="str">
        <f>IFERROR(_xlfn.XLOOKUP(A47,'PowerQuery Veri'!$A:$A,'PowerQuery Veri'!$B:$B),"")</f>
        <v/>
      </c>
      <c r="E47" s="1" t="str">
        <f t="shared" si="0"/>
        <v/>
      </c>
      <c r="F47" s="26" t="str">
        <f t="shared" si="1"/>
        <v/>
      </c>
      <c r="G47" s="1" t="str">
        <f t="shared" si="2"/>
        <v/>
      </c>
    </row>
    <row r="48" spans="1:16">
      <c r="A48" s="17">
        <v>52597</v>
      </c>
      <c r="B48" s="17" t="str">
        <f t="shared" si="3"/>
        <v/>
      </c>
      <c r="C48" s="18" t="str">
        <f t="shared" ref="C48" si="19">IF(D48="","",ROUND(D48*0.8,2))</f>
        <v/>
      </c>
      <c r="D48" s="18" t="str">
        <f>IFERROR(_xlfn.XLOOKUP(A48,'PowerQuery Veri'!$A:$A,'PowerQuery Veri'!$B:$B),"")</f>
        <v/>
      </c>
      <c r="E48" s="1" t="str">
        <f t="shared" si="0"/>
        <v/>
      </c>
      <c r="F48" s="26" t="str">
        <f t="shared" si="1"/>
        <v/>
      </c>
      <c r="G48" s="1" t="str">
        <f t="shared" si="2"/>
        <v/>
      </c>
    </row>
    <row r="49" spans="1:15">
      <c r="A49" s="17">
        <v>52779</v>
      </c>
      <c r="B49" s="17" t="str">
        <f t="shared" si="3"/>
        <v/>
      </c>
      <c r="C49" s="18" t="str">
        <f t="shared" ref="C49" si="20">IF(OR(D49="",D48=""),"",IF(ABS(D49-D48)&gt;=5,ROUND(D49*0.8,2),C48))</f>
        <v/>
      </c>
      <c r="D49" s="18" t="str">
        <f>IFERROR(_xlfn.XLOOKUP(A49,'PowerQuery Veri'!$A:$A,'PowerQuery Veri'!$B:$B),"")</f>
        <v/>
      </c>
      <c r="E49" s="1" t="str">
        <f t="shared" si="0"/>
        <v/>
      </c>
      <c r="F49" s="26" t="str">
        <f t="shared" si="1"/>
        <v/>
      </c>
      <c r="G49" s="1" t="str">
        <f t="shared" si="2"/>
        <v/>
      </c>
    </row>
    <row r="50" spans="1:15">
      <c r="A50" s="17">
        <v>52963</v>
      </c>
      <c r="B50" s="17" t="str">
        <f t="shared" si="3"/>
        <v/>
      </c>
      <c r="C50" s="18" t="str">
        <f t="shared" ref="C50" si="21">IF(D50="","",ROUND(D50*0.8,2))</f>
        <v/>
      </c>
      <c r="D50" s="18" t="str">
        <f>IFERROR(_xlfn.XLOOKUP(A50,'PowerQuery Veri'!$A:$A,'PowerQuery Veri'!$B:$B),"")</f>
        <v/>
      </c>
      <c r="E50" s="1" t="str">
        <f t="shared" si="0"/>
        <v/>
      </c>
      <c r="F50" s="26" t="str">
        <f t="shared" si="1"/>
        <v/>
      </c>
      <c r="G50" s="1" t="str">
        <f t="shared" si="2"/>
        <v/>
      </c>
    </row>
    <row r="51" spans="1:15">
      <c r="A51" s="17">
        <v>53144</v>
      </c>
      <c r="B51" s="17" t="str">
        <f t="shared" si="3"/>
        <v/>
      </c>
      <c r="C51" s="18" t="str">
        <f t="shared" ref="C51" si="22">IF(OR(D51="",D50=""),"",IF(ABS(D51-D50)&gt;=5,ROUND(D51*0.8,2),C50))</f>
        <v/>
      </c>
      <c r="D51" s="18" t="str">
        <f>IFERROR(_xlfn.XLOOKUP(A51,'PowerQuery Veri'!$A:$A,'PowerQuery Veri'!$B:$B),"")</f>
        <v/>
      </c>
      <c r="E51" s="1" t="str">
        <f t="shared" si="0"/>
        <v/>
      </c>
      <c r="F51" s="26" t="str">
        <f t="shared" si="1"/>
        <v/>
      </c>
      <c r="G51" s="1" t="str">
        <f t="shared" si="2"/>
        <v/>
      </c>
    </row>
    <row r="52" spans="1:15">
      <c r="A52" s="17">
        <v>53328</v>
      </c>
      <c r="B52" s="17" t="str">
        <f t="shared" si="3"/>
        <v/>
      </c>
      <c r="C52" s="18" t="str">
        <f t="shared" ref="C52" si="23">IF(D52="","",ROUND(D52*0.8,2))</f>
        <v/>
      </c>
      <c r="D52" s="18" t="str">
        <f>IFERROR(_xlfn.XLOOKUP(A52,'PowerQuery Veri'!$A:$A,'PowerQuery Veri'!$B:$B),"")</f>
        <v/>
      </c>
      <c r="E52" s="1" t="str">
        <f t="shared" si="0"/>
        <v/>
      </c>
      <c r="F52" s="26" t="str">
        <f t="shared" si="1"/>
        <v/>
      </c>
      <c r="G52" s="1" t="str">
        <f t="shared" si="2"/>
        <v/>
      </c>
    </row>
    <row r="53" spans="1:15">
      <c r="A53" s="17">
        <v>53509</v>
      </c>
      <c r="B53" s="17" t="str">
        <f t="shared" si="3"/>
        <v/>
      </c>
      <c r="C53" s="18" t="str">
        <f t="shared" ref="C53" si="24">IF(OR(D53="",D52=""),"",IF(ABS(D53-D52)&gt;=5,ROUND(D53*0.8,2),C52))</f>
        <v/>
      </c>
      <c r="D53" s="18" t="str">
        <f>IFERROR(_xlfn.XLOOKUP(A53,'PowerQuery Veri'!$A:$A,'PowerQuery Veri'!$B:$B),"")</f>
        <v/>
      </c>
      <c r="E53" s="1" t="str">
        <f t="shared" si="0"/>
        <v/>
      </c>
      <c r="F53" s="26" t="str">
        <f t="shared" si="1"/>
        <v/>
      </c>
      <c r="G53" s="1" t="str">
        <f t="shared" si="2"/>
        <v/>
      </c>
    </row>
    <row r="54" spans="1:15">
      <c r="A54" s="17">
        <v>53693</v>
      </c>
      <c r="B54" s="17" t="str">
        <f t="shared" si="3"/>
        <v/>
      </c>
      <c r="C54" s="18" t="str">
        <f t="shared" ref="C54" si="25">IF(D54="","",ROUND(D54*0.8,2))</f>
        <v/>
      </c>
      <c r="D54" s="18" t="str">
        <f>IFERROR(_xlfn.XLOOKUP(A54,'PowerQuery Veri'!$A:$A,'PowerQuery Veri'!$B:$B),"")</f>
        <v/>
      </c>
      <c r="E54" s="1" t="str">
        <f t="shared" si="0"/>
        <v/>
      </c>
      <c r="F54" s="26" t="str">
        <f t="shared" si="1"/>
        <v/>
      </c>
      <c r="G54" s="1" t="str">
        <f t="shared" si="2"/>
        <v/>
      </c>
    </row>
    <row r="55" spans="1:15">
      <c r="A55" s="17">
        <v>53874</v>
      </c>
      <c r="B55" s="17" t="str">
        <f t="shared" si="3"/>
        <v/>
      </c>
      <c r="C55" s="18" t="str">
        <f t="shared" ref="C55" si="26">IF(OR(D55="",D54=""),"",IF(ABS(D55-D54)&gt;=5,ROUND(D55*0.8,2),C54))</f>
        <v/>
      </c>
      <c r="D55" s="18" t="str">
        <f>IFERROR(_xlfn.XLOOKUP(A55,'PowerQuery Veri'!$A:$A,'PowerQuery Veri'!$B:$B),"")</f>
        <v/>
      </c>
      <c r="E55" s="1" t="str">
        <f t="shared" si="0"/>
        <v/>
      </c>
      <c r="F55" s="26" t="str">
        <f t="shared" si="1"/>
        <v/>
      </c>
      <c r="G55" s="1" t="str">
        <f t="shared" si="2"/>
        <v/>
      </c>
    </row>
    <row r="56" spans="1:15">
      <c r="A56" s="17">
        <v>54058</v>
      </c>
      <c r="B56" s="17" t="str">
        <f t="shared" si="3"/>
        <v/>
      </c>
      <c r="C56" s="18" t="str">
        <f t="shared" ref="C56" si="27">IF(D56="","",ROUND(D56*0.8,2))</f>
        <v/>
      </c>
      <c r="D56" s="18" t="str">
        <f>IFERROR(_xlfn.XLOOKUP(A56,'PowerQuery Veri'!$A:$A,'PowerQuery Veri'!$B:$B),"")</f>
        <v/>
      </c>
      <c r="E56" s="1" t="str">
        <f t="shared" si="0"/>
        <v/>
      </c>
      <c r="F56" s="26" t="str">
        <f t="shared" si="1"/>
        <v/>
      </c>
      <c r="G56" s="1" t="str">
        <f t="shared" si="2"/>
        <v/>
      </c>
    </row>
    <row r="57" spans="1:15">
      <c r="A57" s="17">
        <v>54240</v>
      </c>
      <c r="B57" s="17" t="str">
        <f t="shared" si="3"/>
        <v/>
      </c>
      <c r="C57" s="18" t="str">
        <f t="shared" ref="C57" si="28">IF(OR(D57="",D56=""),"",IF(ABS(D57-D56)&gt;=5,ROUND(D57*0.8,2),C56))</f>
        <v/>
      </c>
      <c r="D57" s="18" t="str">
        <f>IFERROR(_xlfn.XLOOKUP(A57,'PowerQuery Veri'!$A:$A,'PowerQuery Veri'!$B:$B),"")</f>
        <v/>
      </c>
      <c r="E57" s="1" t="str">
        <f t="shared" si="0"/>
        <v/>
      </c>
      <c r="F57" s="26" t="str">
        <f t="shared" si="1"/>
        <v/>
      </c>
      <c r="G57" s="1" t="str">
        <f t="shared" si="2"/>
        <v/>
      </c>
    </row>
    <row r="58" spans="1:15">
      <c r="A58" s="17">
        <v>54424</v>
      </c>
      <c r="B58" s="17" t="str">
        <f t="shared" si="3"/>
        <v/>
      </c>
      <c r="C58" s="18" t="str">
        <f t="shared" ref="C58" si="29">IF(D58="","",ROUND(D58*0.8,2))</f>
        <v/>
      </c>
      <c r="D58" s="18" t="str">
        <f>IFERROR(_xlfn.XLOOKUP(A58,'PowerQuery Veri'!$A:$A,'PowerQuery Veri'!$B:$B),"")</f>
        <v/>
      </c>
      <c r="E58" s="1" t="str">
        <f t="shared" si="0"/>
        <v/>
      </c>
      <c r="F58" s="26" t="str">
        <f t="shared" si="1"/>
        <v/>
      </c>
      <c r="G58" s="1" t="str">
        <f t="shared" si="2"/>
        <v/>
      </c>
    </row>
    <row r="59" spans="1:15">
      <c r="A59" s="17">
        <v>54605</v>
      </c>
      <c r="B59" s="17" t="str">
        <f t="shared" si="3"/>
        <v/>
      </c>
      <c r="C59" s="18" t="str">
        <f>IF(OR(D59="",D58=""),"",IF(ABS(D59-D58)&gt;=5,ROUND(D59*0.8,2),C58))</f>
        <v/>
      </c>
      <c r="D59" s="18" t="str">
        <f>IFERROR(_xlfn.XLOOKUP(A59,'PowerQuery Veri'!$A:$A,'PowerQuery Veri'!$B:$B),"")</f>
        <v/>
      </c>
      <c r="E59" s="1" t="str">
        <f t="shared" si="0"/>
        <v/>
      </c>
      <c r="F59" s="26" t="str">
        <f t="shared" si="1"/>
        <v/>
      </c>
      <c r="G59" s="1" t="str">
        <f t="shared" si="2"/>
        <v/>
      </c>
    </row>
    <row r="60" spans="1:15">
      <c r="A60" s="17">
        <v>54789</v>
      </c>
      <c r="B60" s="17" t="str">
        <f t="shared" si="3"/>
        <v/>
      </c>
      <c r="C60" s="18" t="str">
        <f>IF(D60="","",ROUND(D60*0.8,2))</f>
        <v/>
      </c>
      <c r="D60" s="18" t="str">
        <f>IFERROR(_xlfn.XLOOKUP(A60,'PowerQuery Veri'!$A:$A,'PowerQuery Veri'!$B:$B),"")</f>
        <v/>
      </c>
      <c r="E60" s="1" t="str">
        <f t="shared" si="0"/>
        <v/>
      </c>
      <c r="F60" s="26" t="str">
        <f t="shared" si="1"/>
        <v/>
      </c>
      <c r="G60" s="1" t="str">
        <f t="shared" si="2"/>
        <v/>
      </c>
    </row>
    <row r="61" spans="1:15">
      <c r="A61" s="17">
        <v>54970</v>
      </c>
      <c r="B61" s="17" t="str">
        <f>IF(C61="","",DATE(YEAR(A61),12,31))</f>
        <v/>
      </c>
      <c r="C61" s="18" t="str">
        <f>IF(OR(D61="",D60=""),"",IF(ABS(D61-D60)&gt;=5,ROUND(D61*0.8,2),C60))</f>
        <v/>
      </c>
      <c r="D61" s="18" t="str">
        <f>IFERROR(_xlfn.XLOOKUP(A61,'PowerQuery Veri'!$A:$A,'PowerQuery Veri'!$B:$B),"")</f>
        <v/>
      </c>
      <c r="E61" s="1" t="str">
        <f t="shared" si="0"/>
        <v/>
      </c>
      <c r="F61" s="26" t="str">
        <f t="shared" si="1"/>
        <v/>
      </c>
      <c r="G61" s="1" t="str">
        <f t="shared" si="2"/>
        <v/>
      </c>
      <c r="I61" s="43" t="s">
        <v>36</v>
      </c>
      <c r="J61" s="44"/>
      <c r="K61" s="44"/>
      <c r="L61" s="44"/>
      <c r="M61" s="44"/>
      <c r="N61" s="44"/>
      <c r="O61" s="44"/>
    </row>
    <row r="62" spans="1:15">
      <c r="D62" s="18"/>
    </row>
    <row r="63" spans="1:15">
      <c r="D63" s="18"/>
    </row>
    <row r="64" spans="1:15">
      <c r="D64" s="18"/>
    </row>
    <row r="65" spans="4:4">
      <c r="D65" s="18"/>
    </row>
    <row r="66" spans="4:4">
      <c r="D66" s="18"/>
    </row>
    <row r="67" spans="4:4">
      <c r="D67" s="18"/>
    </row>
    <row r="68" spans="4:4">
      <c r="D68" s="18"/>
    </row>
    <row r="69" spans="4:4">
      <c r="D69" s="18"/>
    </row>
    <row r="70" spans="4:4">
      <c r="D70" s="18"/>
    </row>
    <row r="71" spans="4:4">
      <c r="D71" s="18"/>
    </row>
    <row r="72" spans="4:4">
      <c r="D72" s="18"/>
    </row>
    <row r="73" spans="4:4">
      <c r="D73" s="18"/>
    </row>
    <row r="74" spans="4:4">
      <c r="D74" s="18"/>
    </row>
    <row r="75" spans="4:4">
      <c r="D75" s="18"/>
    </row>
    <row r="76" spans="4:4">
      <c r="D76" s="18"/>
    </row>
    <row r="77" spans="4:4">
      <c r="D77" s="18"/>
    </row>
    <row r="78" spans="4:4">
      <c r="D78" s="18"/>
    </row>
    <row r="79" spans="4:4">
      <c r="D79" s="18"/>
    </row>
    <row r="80" spans="4:4">
      <c r="D80" s="18"/>
    </row>
  </sheetData>
  <sheetProtection algorithmName="SHA-512" hashValue="ScGbN0PL2h2iPh7DoxBzXJIbF31ifY6KJCO2Y3fqg2gUp2q7FUOzlVVlX6zsiKx/TQQ4u5pSjmOTG+JfZExMNA==" saltValue="iCDqVamR5MYwd401lKwATA==" spinCount="100000" sheet="1" objects="1" scenarios="1"/>
  <mergeCells count="17">
    <mergeCell ref="I1:J1"/>
    <mergeCell ref="I13:M15"/>
    <mergeCell ref="I22:J28"/>
    <mergeCell ref="O13:P19"/>
    <mergeCell ref="I21:P21"/>
    <mergeCell ref="I12:P12"/>
    <mergeCell ref="I6:P7"/>
    <mergeCell ref="I4:P5"/>
    <mergeCell ref="I2:P3"/>
    <mergeCell ref="I8:P9"/>
    <mergeCell ref="I32:P32"/>
    <mergeCell ref="I16:M18"/>
    <mergeCell ref="L25:P27"/>
    <mergeCell ref="L22:P24"/>
    <mergeCell ref="I61:O61"/>
    <mergeCell ref="I33:P44"/>
    <mergeCell ref="I31:P31"/>
  </mergeCells>
  <hyperlinks>
    <hyperlink ref="I16" r:id="rId1" xr:uid="{94C14211-AAE5-442F-A0F5-462D42FACD65}"/>
  </hyperlinks>
  <pageMargins left="0.7" right="0.7" top="0.75" bottom="0.75" header="0.3" footer="0.3"/>
  <pageSetup paperSize="9"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4"/>
  <sheetViews>
    <sheetView showGridLines="0" topLeftCell="C1" workbookViewId="0">
      <selection activeCell="C1" sqref="C1:H4"/>
    </sheetView>
  </sheetViews>
  <sheetFormatPr defaultRowHeight="13.8"/>
  <cols>
    <col min="1" max="1" width="13" hidden="1" customWidth="1"/>
    <col min="2" max="2" width="10" hidden="1" customWidth="1"/>
  </cols>
  <sheetData>
    <row r="1" spans="1:8">
      <c r="A1" t="s">
        <v>27</v>
      </c>
      <c r="B1" t="s">
        <v>28</v>
      </c>
      <c r="C1" s="50" t="s">
        <v>43</v>
      </c>
      <c r="D1" s="50"/>
      <c r="E1" s="50"/>
      <c r="F1" s="50"/>
      <c r="G1" s="50"/>
      <c r="H1" s="50"/>
    </row>
    <row r="2" spans="1:8">
      <c r="A2" s="17">
        <v>46023</v>
      </c>
      <c r="B2" s="18">
        <v>38.75</v>
      </c>
      <c r="C2" s="50"/>
      <c r="D2" s="50"/>
      <c r="E2" s="50"/>
      <c r="F2" s="50"/>
      <c r="G2" s="50"/>
      <c r="H2" s="50"/>
    </row>
    <row r="3" spans="1:8">
      <c r="A3" s="17">
        <v>46204</v>
      </c>
      <c r="B3" s="18">
        <v>38.75</v>
      </c>
      <c r="C3" s="50"/>
      <c r="D3" s="50"/>
      <c r="E3" s="50"/>
      <c r="F3" s="50"/>
      <c r="G3" s="50"/>
      <c r="H3" s="50"/>
    </row>
    <row r="4" spans="1:8">
      <c r="C4" s="50"/>
      <c r="D4" s="50"/>
      <c r="E4" s="50"/>
      <c r="F4" s="50"/>
      <c r="G4" s="50"/>
      <c r="H4" s="50"/>
    </row>
  </sheetData>
  <mergeCells count="1">
    <mergeCell ref="C1:H4"/>
  </mergeCells>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A1A975F-29AE-447C-9205-DE679F653AB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5</vt:i4>
      </vt:variant>
    </vt:vector>
  </HeadingPairs>
  <TitlesOfParts>
    <vt:vector size="5" baseType="lpstr">
      <vt:lpstr>Faiz Hesaplanan</vt:lpstr>
      <vt:lpstr>Faiz Tablosu</vt:lpstr>
      <vt:lpstr>Otuz Günlük</vt:lpstr>
      <vt:lpstr>Kaynak Veri</vt:lpstr>
      <vt:lpstr>PowerQuery Veri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Ferhat Bakıroğlu</dc:creator>
  <cp:lastModifiedBy>Ferhat Bakıroğlu</cp:lastModifiedBy>
  <cp:lastPrinted>2026-08-24T07:31:01Z</cp:lastPrinted>
  <dcterms:modified xsi:type="dcterms:W3CDTF">2026-08-31T13:00:49Z</dcterms:modified>
</cp:coreProperties>
</file>